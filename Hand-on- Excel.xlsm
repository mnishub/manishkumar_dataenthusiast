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drawings/drawing9.xml" ContentType="application/vnd.openxmlformats-officedocument.drawing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1.xml" ContentType="application/vnd.openxmlformats-officedocument.drawing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nis\OneDrive\Desktop\"/>
    </mc:Choice>
  </mc:AlternateContent>
  <xr:revisionPtr revIDLastSave="0" documentId="13_ncr:1_{7E8E75B1-98C6-4508-904F-A006EE1DD145}" xr6:coauthVersionLast="47" xr6:coauthVersionMax="47" xr10:uidLastSave="{00000000-0000-0000-0000-000000000000}"/>
  <bookViews>
    <workbookView xWindow="-120" yWindow="-120" windowWidth="20730" windowHeight="11040" tabRatio="800" firstSheet="1" activeTab="19" xr2:uid="{00000000-000D-0000-FFFF-FFFF00000000}"/>
  </bookViews>
  <sheets>
    <sheet name="A" sheetId="4" r:id="rId1"/>
    <sheet name="B" sheetId="8" r:id="rId2"/>
    <sheet name="C" sheetId="20" r:id="rId3"/>
    <sheet name="D" sheetId="5" r:id="rId4"/>
    <sheet name="E" sheetId="1" r:id="rId5"/>
    <sheet name="F" sheetId="2" r:id="rId6"/>
    <sheet name="G" sheetId="3" r:id="rId7"/>
    <sheet name="H" sheetId="18" r:id="rId8"/>
    <sheet name="I" sheetId="6" r:id="rId9"/>
    <sheet name="J" sheetId="7" r:id="rId10"/>
    <sheet name="K" sheetId="17" r:id="rId11"/>
    <sheet name="M" sheetId="21" r:id="rId12"/>
    <sheet name="Sheet2" sheetId="41" state="hidden" r:id="rId13"/>
    <sheet name="N" sheetId="39" r:id="rId14"/>
    <sheet name="O" sheetId="23" r:id="rId15"/>
    <sheet name="P" sheetId="26" r:id="rId16"/>
    <sheet name="Q" sheetId="30" r:id="rId17"/>
    <sheet name="R" sheetId="38" r:id="rId18"/>
    <sheet name="S-1" sheetId="33" r:id="rId19"/>
    <sheet name="S-2" sheetId="32" r:id="rId20"/>
    <sheet name="U-1" sheetId="34" r:id="rId21"/>
    <sheet name="U-2" sheetId="35" r:id="rId22"/>
  </sheets>
  <definedNames>
    <definedName name="_xlnm._FilterDatabase" localSheetId="8" hidden="1">I!$B$7:$C$37</definedName>
    <definedName name="_xlnm._FilterDatabase" localSheetId="15" hidden="1">P!$A$8:$I$8</definedName>
    <definedName name="_xlnm._FilterDatabase" localSheetId="16" hidden="1">Q!$A$22:$K$22</definedName>
    <definedName name="_xlnm._FilterDatabase" localSheetId="17" hidden="1">'R'!$A$10:$B$40</definedName>
    <definedName name="_xlnm._FilterDatabase" localSheetId="19" hidden="1">'S-2'!$A$7:$O$14</definedName>
    <definedName name="_xlnm._FilterDatabase" localSheetId="21" hidden="1">'U-2'!$A$7:$K$14</definedName>
    <definedName name="India">K!$F$9:$F$13</definedName>
    <definedName name="_xlnm.Print_Area" localSheetId="11">M!$A$1:$AI$72</definedName>
    <definedName name="US">K!$E$9:$E$13</definedName>
  </definedNames>
  <calcPr calcId="191029" calcOnSave="0"/>
  <pivotCaches>
    <pivotCache cacheId="36" r:id="rId23"/>
    <pivotCache cacheId="13" r:id="rId24"/>
    <pivotCache cacheId="27" r:id="rId25"/>
    <pivotCache cacheId="32" r:id="rId2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1" i="32" l="1" a="1"/>
  <c r="B21" i="32"/>
  <c r="B22" i="32" a="1"/>
  <c r="B22" i="32"/>
  <c r="B23" i="32" a="1"/>
  <c r="B23" i="32"/>
  <c r="B24" i="32" a="1"/>
  <c r="B24" i="32"/>
  <c r="B25" i="32" a="1"/>
  <c r="B25" i="32"/>
  <c r="B26" i="32" a="1"/>
  <c r="B26" i="32"/>
  <c r="B20" i="32" a="1"/>
  <c r="B20" i="32"/>
  <c r="E9" i="26" a="1"/>
  <c r="E9" i="26"/>
  <c r="E10" i="26" a="1"/>
  <c r="E10" i="26"/>
  <c r="F10" i="26" a="1"/>
  <c r="F10" i="26"/>
  <c r="G10" i="26" a="1"/>
  <c r="G10" i="26"/>
  <c r="H10" i="26" a="1"/>
  <c r="H10" i="26"/>
  <c r="I10" i="26" a="1"/>
  <c r="I10" i="26"/>
  <c r="E11" i="26" a="1"/>
  <c r="E11" i="26"/>
  <c r="F11" i="26" a="1"/>
  <c r="F11" i="26"/>
  <c r="G11" i="26" a="1"/>
  <c r="G11" i="26"/>
  <c r="H11" i="26" a="1"/>
  <c r="H11" i="26"/>
  <c r="I11" i="26" a="1"/>
  <c r="I11" i="26"/>
  <c r="E12" i="26" a="1"/>
  <c r="E12" i="26"/>
  <c r="F12" i="26" a="1"/>
  <c r="F12" i="26"/>
  <c r="G12" i="26" a="1"/>
  <c r="G12" i="26"/>
  <c r="H12" i="26" a="1"/>
  <c r="H12" i="26"/>
  <c r="I12" i="26" a="1"/>
  <c r="I12" i="26"/>
  <c r="E13" i="26" a="1"/>
  <c r="E13" i="26"/>
  <c r="F13" i="26" a="1"/>
  <c r="F13" i="26"/>
  <c r="G13" i="26" a="1"/>
  <c r="G13" i="26"/>
  <c r="H13" i="26" a="1"/>
  <c r="H13" i="26"/>
  <c r="I13" i="26" a="1"/>
  <c r="I13" i="26"/>
  <c r="E14" i="26" a="1"/>
  <c r="E14" i="26"/>
  <c r="F14" i="26" a="1"/>
  <c r="F14" i="26"/>
  <c r="G14" i="26" a="1"/>
  <c r="G14" i="26"/>
  <c r="H14" i="26" a="1"/>
  <c r="H14" i="26"/>
  <c r="I14" i="26" a="1"/>
  <c r="I14" i="26"/>
  <c r="E15" i="26" a="1"/>
  <c r="E15" i="26"/>
  <c r="F15" i="26" a="1"/>
  <c r="F15" i="26"/>
  <c r="G15" i="26" a="1"/>
  <c r="G15" i="26"/>
  <c r="H15" i="26" a="1"/>
  <c r="H15" i="26"/>
  <c r="I15" i="26" a="1"/>
  <c r="I15" i="26"/>
  <c r="E16" i="26" a="1"/>
  <c r="E16" i="26"/>
  <c r="F16" i="26" a="1"/>
  <c r="F16" i="26"/>
  <c r="G16" i="26" a="1"/>
  <c r="G16" i="26"/>
  <c r="H16" i="26" a="1"/>
  <c r="H16" i="26"/>
  <c r="I16" i="26" a="1"/>
  <c r="I16" i="26"/>
  <c r="E17" i="26" a="1"/>
  <c r="E17" i="26"/>
  <c r="F17" i="26" a="1"/>
  <c r="F17" i="26"/>
  <c r="G17" i="26" a="1"/>
  <c r="G17" i="26"/>
  <c r="H17" i="26" a="1"/>
  <c r="H17" i="26"/>
  <c r="I17" i="26" a="1"/>
  <c r="I17" i="26"/>
  <c r="E18" i="26" a="1"/>
  <c r="E18" i="26"/>
  <c r="F18" i="26" a="1"/>
  <c r="F18" i="26"/>
  <c r="G18" i="26" a="1"/>
  <c r="G18" i="26"/>
  <c r="H18" i="26" a="1"/>
  <c r="H18" i="26"/>
  <c r="I18" i="26" a="1"/>
  <c r="I18" i="26"/>
  <c r="E19" i="26" a="1"/>
  <c r="E19" i="26"/>
  <c r="F19" i="26" a="1"/>
  <c r="F19" i="26"/>
  <c r="G19" i="26" a="1"/>
  <c r="G19" i="26"/>
  <c r="H19" i="26" a="1"/>
  <c r="H19" i="26"/>
  <c r="I19" i="26" a="1"/>
  <c r="I19" i="26"/>
  <c r="I9" i="26" a="1"/>
  <c r="I9" i="26"/>
  <c r="G9" i="26" a="1"/>
  <c r="G9" i="26"/>
  <c r="H9" i="26" a="1"/>
  <c r="H9" i="26"/>
  <c r="F9" i="26" a="1"/>
  <c r="F9" i="26"/>
  <c r="C19" i="35"/>
  <c r="D19" i="35"/>
  <c r="E19" i="35"/>
  <c r="F19" i="35"/>
  <c r="G19" i="35"/>
  <c r="H19" i="35"/>
  <c r="I19" i="35"/>
  <c r="J19" i="35"/>
  <c r="K19" i="35"/>
  <c r="C20" i="35"/>
  <c r="D20" i="35"/>
  <c r="E20" i="35"/>
  <c r="F20" i="35"/>
  <c r="G20" i="35"/>
  <c r="H20" i="35"/>
  <c r="I20" i="35"/>
  <c r="J20" i="35"/>
  <c r="K20" i="35"/>
  <c r="C21" i="35"/>
  <c r="D21" i="35"/>
  <c r="E21" i="35"/>
  <c r="F21" i="35"/>
  <c r="G21" i="35"/>
  <c r="H21" i="35"/>
  <c r="I21" i="35"/>
  <c r="J21" i="35"/>
  <c r="K21" i="35"/>
  <c r="C22" i="35"/>
  <c r="D22" i="35"/>
  <c r="E22" i="35"/>
  <c r="F22" i="35"/>
  <c r="G22" i="35"/>
  <c r="H22" i="35"/>
  <c r="I22" i="35"/>
  <c r="J22" i="35"/>
  <c r="K22" i="35"/>
  <c r="C23" i="35"/>
  <c r="D23" i="35"/>
  <c r="E23" i="35"/>
  <c r="F23" i="35"/>
  <c r="G23" i="35"/>
  <c r="H23" i="35"/>
  <c r="I23" i="35"/>
  <c r="J23" i="35"/>
  <c r="K23" i="35"/>
  <c r="C24" i="35"/>
  <c r="D24" i="35"/>
  <c r="E24" i="35"/>
  <c r="F24" i="35"/>
  <c r="G24" i="35"/>
  <c r="H24" i="35"/>
  <c r="I24" i="35"/>
  <c r="J24" i="35"/>
  <c r="K24" i="35"/>
  <c r="C25" i="35"/>
  <c r="D25" i="35"/>
  <c r="E25" i="35"/>
  <c r="F25" i="35"/>
  <c r="G25" i="35"/>
  <c r="H25" i="35"/>
  <c r="I25" i="35"/>
  <c r="J25" i="35"/>
  <c r="K25" i="35"/>
  <c r="B20" i="35"/>
  <c r="B21" i="35"/>
  <c r="B22" i="35"/>
  <c r="B23" i="35"/>
  <c r="B24" i="35"/>
  <c r="B25" i="35"/>
  <c r="B19" i="35"/>
  <c r="B9" i="35"/>
  <c r="C9" i="35"/>
  <c r="D9" i="35"/>
  <c r="E9" i="35"/>
  <c r="F9" i="35"/>
  <c r="G9" i="35"/>
  <c r="H9" i="35"/>
  <c r="I9" i="35"/>
  <c r="J9" i="35"/>
  <c r="K9" i="35"/>
  <c r="B10" i="35"/>
  <c r="C10" i="35"/>
  <c r="D10" i="35"/>
  <c r="E10" i="35"/>
  <c r="F10" i="35"/>
  <c r="G10" i="35"/>
  <c r="H10" i="35"/>
  <c r="I10" i="35"/>
  <c r="J10" i="35"/>
  <c r="K10" i="35"/>
  <c r="B11" i="35"/>
  <c r="C11" i="35"/>
  <c r="D11" i="35"/>
  <c r="E11" i="35"/>
  <c r="F11" i="35"/>
  <c r="G11" i="35"/>
  <c r="H11" i="35"/>
  <c r="I11" i="35"/>
  <c r="J11" i="35"/>
  <c r="K11" i="35"/>
  <c r="B12" i="35"/>
  <c r="C12" i="35"/>
  <c r="D12" i="35"/>
  <c r="E12" i="35"/>
  <c r="F12" i="35"/>
  <c r="G12" i="35"/>
  <c r="H12" i="35"/>
  <c r="I12" i="35"/>
  <c r="J12" i="35"/>
  <c r="K12" i="35"/>
  <c r="B13" i="35"/>
  <c r="C13" i="35"/>
  <c r="D13" i="35"/>
  <c r="E13" i="35"/>
  <c r="F13" i="35"/>
  <c r="G13" i="35"/>
  <c r="H13" i="35"/>
  <c r="I13" i="35"/>
  <c r="J13" i="35"/>
  <c r="K13" i="35"/>
  <c r="B14" i="35"/>
  <c r="C14" i="35"/>
  <c r="D14" i="35"/>
  <c r="E14" i="35"/>
  <c r="F14" i="35"/>
  <c r="G14" i="35"/>
  <c r="H14" i="35"/>
  <c r="I14" i="35"/>
  <c r="J14" i="35"/>
  <c r="K14" i="35"/>
  <c r="C8" i="35"/>
  <c r="D8" i="35"/>
  <c r="E8" i="35"/>
  <c r="F8" i="35"/>
  <c r="G8" i="35"/>
  <c r="H8" i="35"/>
  <c r="I8" i="35"/>
  <c r="J8" i="35"/>
  <c r="K8" i="35"/>
  <c r="B8" i="35"/>
  <c r="D14" i="2"/>
  <c r="D10" i="2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B12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B31" i="38"/>
  <c r="B32" i="38"/>
  <c r="B33" i="38"/>
  <c r="B34" i="38"/>
  <c r="B35" i="38"/>
  <c r="B36" i="38"/>
  <c r="B37" i="38"/>
  <c r="B38" i="38"/>
  <c r="B39" i="38"/>
  <c r="B40" i="38"/>
  <c r="B11" i="38"/>
  <c r="C11" i="38"/>
  <c r="E18" i="18" l="1"/>
  <c r="F18" i="18"/>
  <c r="E19" i="18"/>
  <c r="F19" i="18"/>
  <c r="E20" i="18"/>
  <c r="F20" i="18"/>
  <c r="D19" i="18"/>
  <c r="D20" i="18"/>
  <c r="D18" i="18"/>
  <c r="F18" i="3"/>
  <c r="E18" i="3"/>
  <c r="D18" i="3"/>
  <c r="I32" i="1"/>
  <c r="I33" i="1"/>
  <c r="I34" i="1"/>
  <c r="I35" i="1"/>
  <c r="I36" i="1"/>
  <c r="I37" i="1"/>
  <c r="I31" i="1"/>
  <c r="I22" i="1" a="1"/>
  <c r="I22" i="1"/>
  <c r="J13" i="1" a="1"/>
  <c r="J13" i="1"/>
  <c r="J14" i="1" a="1"/>
  <c r="J14" i="1"/>
  <c r="J15" i="1" a="1"/>
  <c r="J15" i="1"/>
  <c r="J16" i="1" a="1"/>
  <c r="J16" i="1"/>
  <c r="J17" i="1" a="1"/>
  <c r="J17" i="1"/>
  <c r="J18" i="1" a="1"/>
  <c r="J18" i="1"/>
  <c r="J12" i="1" a="1"/>
  <c r="J12" i="1"/>
  <c r="L13" i="1" a="1"/>
  <c r="L13" i="1"/>
  <c r="L14" i="1" a="1"/>
  <c r="L14" i="1"/>
  <c r="L15" i="1" a="1"/>
  <c r="L15" i="1"/>
  <c r="L16" i="1" a="1"/>
  <c r="L16" i="1"/>
  <c r="L17" i="1" a="1"/>
  <c r="L17" i="1"/>
  <c r="L18" i="1" a="1"/>
  <c r="L18" i="1"/>
  <c r="L12" i="1" a="1"/>
  <c r="L12" i="1"/>
  <c r="K13" i="1" a="1"/>
  <c r="K13" i="1"/>
  <c r="K14" i="1" a="1"/>
  <c r="K14" i="1"/>
  <c r="K15" i="1" a="1"/>
  <c r="K15" i="1"/>
  <c r="K16" i="1" a="1"/>
  <c r="K16" i="1"/>
  <c r="K17" i="1" a="1"/>
  <c r="K17" i="1"/>
  <c r="K18" i="1" a="1"/>
  <c r="K18" i="1"/>
  <c r="K12" i="1" a="1"/>
  <c r="K12" i="1"/>
  <c r="I13" i="1"/>
  <c r="I14" i="1"/>
  <c r="I15" i="1"/>
  <c r="I16" i="1"/>
  <c r="I17" i="1"/>
  <c r="I18" i="1"/>
  <c r="I12" i="1"/>
  <c r="G10" i="2"/>
  <c r="G12" i="2"/>
  <c r="G11" i="2"/>
  <c r="D12" i="2"/>
  <c r="D11" i="2"/>
  <c r="H7" i="8" a="1"/>
  <c r="H7" i="8"/>
  <c r="C18" i="5"/>
  <c r="C19" i="5"/>
  <c r="C20" i="5"/>
  <c r="C21" i="5"/>
  <c r="C17" i="5"/>
  <c r="H13" i="20"/>
  <c r="H14" i="20"/>
  <c r="H15" i="20"/>
  <c r="H16" i="20"/>
  <c r="H12" i="20"/>
  <c r="G13" i="20"/>
  <c r="G14" i="20"/>
  <c r="G15" i="20"/>
  <c r="G16" i="20"/>
  <c r="G12" i="20"/>
  <c r="E1470" i="8"/>
  <c r="E8" i="8" a="1"/>
  <c r="E8" i="8"/>
  <c r="H12" i="4"/>
  <c r="H13" i="4"/>
  <c r="H14" i="4"/>
  <c r="H15" i="4"/>
  <c r="H16" i="4"/>
  <c r="H11" i="4"/>
  <c r="G12" i="4"/>
  <c r="G13" i="4"/>
  <c r="G14" i="4"/>
  <c r="G15" i="4"/>
  <c r="G16" i="4"/>
  <c r="G11" i="4"/>
  <c r="F12" i="4"/>
  <c r="F13" i="4"/>
  <c r="F14" i="4"/>
  <c r="F15" i="4"/>
  <c r="F16" i="4"/>
  <c r="F11" i="4"/>
  <c r="F14" i="21"/>
  <c r="F13" i="21"/>
  <c r="F12" i="21"/>
  <c r="C10" i="21"/>
  <c r="C11" i="21" s="1"/>
  <c r="F11" i="21" s="1"/>
  <c r="F9" i="21"/>
  <c r="F10" i="21" l="1"/>
  <c r="O14" i="18" l="1"/>
  <c r="N14" i="18"/>
  <c r="M14" i="18"/>
  <c r="L14" i="18"/>
  <c r="K14" i="18"/>
  <c r="J14" i="18"/>
  <c r="I14" i="18"/>
  <c r="H14" i="18"/>
  <c r="G14" i="18"/>
  <c r="F14" i="18"/>
  <c r="E14" i="18"/>
  <c r="D14" i="18"/>
  <c r="D15" i="7" l="1"/>
  <c r="E15" i="7"/>
  <c r="D8" i="6"/>
  <c r="E8" i="6" s="1"/>
  <c r="D9" i="6"/>
  <c r="E9" i="6" s="1"/>
  <c r="D10" i="6"/>
  <c r="E10" i="6" s="1"/>
  <c r="D11" i="6"/>
  <c r="E11" i="6" s="1"/>
  <c r="D12" i="6"/>
  <c r="E12" i="6" s="1"/>
  <c r="D13" i="6"/>
  <c r="E13" i="6" s="1"/>
  <c r="D14" i="6"/>
  <c r="E14" i="6" s="1"/>
  <c r="D15" i="6"/>
  <c r="E15" i="6" s="1"/>
  <c r="D16" i="6"/>
  <c r="E16" i="6" s="1"/>
  <c r="D17" i="6"/>
  <c r="E17" i="6" s="1"/>
  <c r="D18" i="6"/>
  <c r="E18" i="6" s="1"/>
  <c r="D19" i="6"/>
  <c r="E19" i="6" s="1"/>
  <c r="D20" i="6"/>
  <c r="E20" i="6" s="1"/>
  <c r="D21" i="6"/>
  <c r="E21" i="6" s="1"/>
  <c r="D22" i="6"/>
  <c r="E22" i="6" s="1"/>
  <c r="D23" i="6"/>
  <c r="E23" i="6" s="1"/>
  <c r="D24" i="6"/>
  <c r="E24" i="6" s="1"/>
  <c r="D25" i="6"/>
  <c r="E25" i="6" s="1"/>
  <c r="D26" i="6"/>
  <c r="E26" i="6" s="1"/>
  <c r="D27" i="6"/>
  <c r="E27" i="6" s="1"/>
  <c r="D28" i="6"/>
  <c r="E28" i="6" s="1"/>
  <c r="D29" i="6"/>
  <c r="E29" i="6" s="1"/>
  <c r="D30" i="6"/>
  <c r="E30" i="6" s="1"/>
  <c r="D31" i="6"/>
  <c r="E31" i="6" s="1"/>
  <c r="D32" i="6"/>
  <c r="E32" i="6" s="1"/>
  <c r="D33" i="6"/>
  <c r="E33" i="6" s="1"/>
  <c r="D34" i="6"/>
  <c r="E34" i="6" s="1"/>
  <c r="D35" i="6"/>
  <c r="E35" i="6" s="1"/>
  <c r="D36" i="6"/>
  <c r="E36" i="6" s="1"/>
  <c r="D37" i="6"/>
  <c r="E37" i="6" s="1"/>
  <c r="O14" i="3" l="1"/>
  <c r="N14" i="3"/>
  <c r="M14" i="3"/>
  <c r="L14" i="3"/>
  <c r="K14" i="3"/>
  <c r="J14" i="3"/>
  <c r="I14" i="3"/>
  <c r="H14" i="3"/>
  <c r="G14" i="3"/>
  <c r="F14" i="3"/>
  <c r="E14" i="3"/>
  <c r="D14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<sst xmlns="http://schemas.openxmlformats.org/spreadsheetml/2006/main" count="4952" uniqueCount="1273">
  <si>
    <t xml:space="preserve">Name </t>
  </si>
  <si>
    <t xml:space="preserve">Marks </t>
  </si>
  <si>
    <t>Dennis</t>
  </si>
  <si>
    <t>Dev</t>
  </si>
  <si>
    <t>Frank</t>
  </si>
  <si>
    <t>Mark</t>
  </si>
  <si>
    <t>Susan</t>
  </si>
  <si>
    <t>Billy</t>
  </si>
  <si>
    <t>Scot</t>
  </si>
  <si>
    <t>NEXT QUESTION</t>
  </si>
  <si>
    <t>STOCK</t>
  </si>
  <si>
    <t>EXPENSES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</si>
  <si>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</si>
  <si>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</si>
  <si>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</si>
  <si>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</si>
  <si>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</si>
  <si>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</si>
  <si>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</si>
  <si>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</si>
  <si>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</si>
  <si>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</si>
  <si>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</si>
  <si>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</si>
  <si>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Advertising</t>
  </si>
  <si>
    <t>Rent</t>
  </si>
  <si>
    <t>Supplies</t>
  </si>
  <si>
    <t>Salaries</t>
  </si>
  <si>
    <t>Utilities</t>
  </si>
  <si>
    <t>TOTAL</t>
  </si>
  <si>
    <t>Month</t>
  </si>
  <si>
    <t>Total</t>
  </si>
  <si>
    <t>Original String</t>
  </si>
  <si>
    <t>Thomas      Hardy</t>
  </si>
  <si>
    <t xml:space="preserve">  Christina Berglund  </t>
  </si>
  <si>
    <t>Total No. of characters</t>
  </si>
  <si>
    <t>Corrected String</t>
  </si>
  <si>
    <r>
      <rPr>
        <b/>
        <sz val="11"/>
        <color theme="1"/>
        <rFont val="Calibri"/>
        <family val="2"/>
      </rPr>
      <t>a.</t>
    </r>
    <r>
      <rPr>
        <sz val="11"/>
        <color theme="1"/>
        <rFont val="Calibri"/>
        <family val="2"/>
        <scheme val="minor"/>
      </rPr>
      <t xml:space="preserve"> In the "Total No. of characters" column -  Determine the total number of characters from the "Original String" column using an excel formula</t>
    </r>
  </si>
  <si>
    <r>
      <rPr>
        <b/>
        <sz val="11"/>
        <color theme="1"/>
        <rFont val="Calibri"/>
        <family val="2"/>
      </rPr>
      <t>b.</t>
    </r>
    <r>
      <rPr>
        <sz val="11"/>
        <color theme="1"/>
        <rFont val="Calibri"/>
        <family val="2"/>
        <scheme val="minor"/>
      </rPr>
      <t xml:space="preserve"> In the "Corrected String" column - enter the Original String values excluding any spaces using an excel formula</t>
    </r>
  </si>
  <si>
    <t>1. Make the numbers in this table red if &lt;0, green if &gt;0</t>
  </si>
  <si>
    <t>A</t>
  </si>
  <si>
    <t>B</t>
  </si>
  <si>
    <t>C</t>
  </si>
  <si>
    <t>D</t>
  </si>
  <si>
    <t>Honey</t>
  </si>
  <si>
    <t>Grapefruit</t>
  </si>
  <si>
    <t>Milk</t>
  </si>
  <si>
    <t>Tea</t>
  </si>
  <si>
    <t>Cinnamon</t>
  </si>
  <si>
    <t>TOTAL SCORE</t>
  </si>
  <si>
    <t xml:space="preserve">GROUP </t>
  </si>
  <si>
    <t>Aaron</t>
  </si>
  <si>
    <t>Carter</t>
  </si>
  <si>
    <t>Jones</t>
  </si>
  <si>
    <t>Tom</t>
  </si>
  <si>
    <t>Finance</t>
  </si>
  <si>
    <t>Cost Accounting</t>
  </si>
  <si>
    <t>Business Ethics</t>
  </si>
  <si>
    <t xml:space="preserve">Technical </t>
  </si>
  <si>
    <t>Quality</t>
  </si>
  <si>
    <t>Risk Analysis</t>
  </si>
  <si>
    <r>
      <rPr>
        <b/>
        <u/>
        <sz val="11"/>
        <color theme="1"/>
        <rFont val="Calibri"/>
        <family val="2"/>
      </rPr>
      <t>Please note</t>
    </r>
    <r>
      <rPr>
        <sz val="11"/>
        <color theme="1"/>
        <rFont val="Calibri"/>
        <family val="2"/>
        <scheme val="minor"/>
      </rPr>
      <t xml:space="preserve">: Create a Pivot in the same page beside the below table </t>
    </r>
  </si>
  <si>
    <t>2</t>
  </si>
  <si>
    <t>1.0</t>
  </si>
  <si>
    <t>1.5</t>
  </si>
  <si>
    <t>2.0</t>
  </si>
  <si>
    <t>2.30</t>
  </si>
  <si>
    <t>3</t>
  </si>
  <si>
    <t>1.25</t>
  </si>
  <si>
    <t>1</t>
  </si>
  <si>
    <t>15</t>
  </si>
  <si>
    <t>2.5</t>
  </si>
  <si>
    <t>.5</t>
  </si>
  <si>
    <t>0.5</t>
  </si>
  <si>
    <t>4</t>
  </si>
  <si>
    <t>16</t>
  </si>
  <si>
    <t>16.5</t>
  </si>
  <si>
    <t>21.5</t>
  </si>
  <si>
    <t>.67</t>
  </si>
  <si>
    <t>0.168</t>
  </si>
  <si>
    <t>5.5</t>
  </si>
  <si>
    <t>.58</t>
  </si>
  <si>
    <t>20</t>
  </si>
  <si>
    <t>0.180</t>
  </si>
  <si>
    <t>4.0</t>
  </si>
  <si>
    <t>1.75</t>
  </si>
  <si>
    <t>3.5</t>
  </si>
  <si>
    <t>6</t>
  </si>
  <si>
    <t>.42</t>
  </si>
  <si>
    <t>2.83</t>
  </si>
  <si>
    <t>3.3</t>
  </si>
  <si>
    <t>0</t>
  </si>
  <si>
    <t>0.097</t>
  </si>
  <si>
    <t>.05</t>
  </si>
  <si>
    <t>4.5</t>
  </si>
  <si>
    <t>0.048</t>
  </si>
  <si>
    <t>5</t>
  </si>
  <si>
    <t>.75</t>
  </si>
  <si>
    <t>2.7</t>
  </si>
  <si>
    <t>SCORES</t>
  </si>
  <si>
    <t>NAMES</t>
  </si>
  <si>
    <t>maria Anders</t>
  </si>
  <si>
    <t xml:space="preserve">  antonio        aoreno</t>
  </si>
  <si>
    <t>AnGus     GleN      DUNlop</t>
  </si>
  <si>
    <t>Proper Case</t>
  </si>
  <si>
    <t xml:space="preserve"> Ana trujiLLo    </t>
  </si>
  <si>
    <r>
      <rPr>
        <b/>
        <sz val="11"/>
        <color theme="1"/>
        <rFont val="Calibri"/>
        <family val="2"/>
      </rPr>
      <t>a.</t>
    </r>
    <r>
      <rPr>
        <sz val="11"/>
        <color theme="1"/>
        <rFont val="Calibri"/>
        <family val="2"/>
        <scheme val="minor"/>
      </rPr>
      <t xml:space="preserve"> Determine the Total Expenses for the Month of August, September and December in the below table using excel </t>
    </r>
    <r>
      <rPr>
        <b/>
        <u/>
        <sz val="11"/>
        <color theme="1"/>
        <rFont val="Calibri"/>
        <family val="2"/>
        <scheme val="minor"/>
      </rPr>
      <t>lookup</t>
    </r>
    <r>
      <rPr>
        <sz val="11"/>
        <color theme="1"/>
        <rFont val="Calibri"/>
        <family val="2"/>
        <scheme val="minor"/>
      </rPr>
      <t xml:space="preserve"> formulas in their respective empty cells below</t>
    </r>
  </si>
  <si>
    <t>Lower Limit</t>
  </si>
  <si>
    <t>Upper Limit</t>
  </si>
  <si>
    <t>Rank</t>
  </si>
  <si>
    <t>&gt;&gt; Using If Condition</t>
  </si>
  <si>
    <t>&gt;&gt; Using Vlookup</t>
  </si>
  <si>
    <t>Name of the Company</t>
  </si>
  <si>
    <t>Exp/Month</t>
  </si>
  <si>
    <t>Group</t>
  </si>
  <si>
    <t>Projects</t>
  </si>
  <si>
    <t>Completed</t>
  </si>
  <si>
    <t>Score</t>
  </si>
  <si>
    <t>Max. Score</t>
  </si>
  <si>
    <r>
      <rPr>
        <b/>
        <u/>
        <sz val="11"/>
        <color theme="1"/>
        <rFont val="Calibri"/>
        <family val="2"/>
      </rPr>
      <t>Please note</t>
    </r>
    <r>
      <rPr>
        <sz val="11"/>
        <color theme="1"/>
        <rFont val="Calibri"/>
        <family val="2"/>
        <scheme val="minor"/>
      </rPr>
      <t>: Create a Graph in the same page beside the below table  (Preferably column and line in the same chart)</t>
    </r>
  </si>
  <si>
    <t>Rank Table</t>
  </si>
  <si>
    <t>&gt;&gt;Rank the student based on the percentile</t>
  </si>
  <si>
    <t>ramesh@ABC.COM</t>
  </si>
  <si>
    <t>suresh@wedgerl.com</t>
  </si>
  <si>
    <t>xyz@digital.com</t>
  </si>
  <si>
    <t>Salary as on 1st Sep 09</t>
  </si>
  <si>
    <t>Hike Percentage</t>
  </si>
  <si>
    <r>
      <rPr>
        <b/>
        <sz val="11"/>
        <color theme="1"/>
        <rFont val="Calibri"/>
        <family val="2"/>
        <scheme val="minor"/>
      </rPr>
      <t>b.</t>
    </r>
    <r>
      <rPr>
        <sz val="11"/>
        <color theme="1"/>
        <rFont val="Calibri"/>
        <family val="2"/>
        <scheme val="minor"/>
      </rPr>
      <t xml:space="preserve"> In the </t>
    </r>
    <r>
      <rPr>
        <b/>
        <sz val="11"/>
        <color theme="1"/>
        <rFont val="Calibri"/>
        <family val="2"/>
      </rPr>
      <t>Hike Percentage</t>
    </r>
    <r>
      <rPr>
        <sz val="11"/>
        <color theme="1"/>
        <rFont val="Calibri"/>
        <family val="2"/>
        <scheme val="minor"/>
      </rPr>
      <t xml:space="preserve"> column:
 Use an excel formula to determine if the employee has seen a hike in their Salary, if yes what is the hike percentage</t>
    </r>
  </si>
  <si>
    <t>Salary as on 1st Sep 10</t>
  </si>
  <si>
    <r>
      <rPr>
        <b/>
        <sz val="11"/>
        <color theme="1"/>
        <rFont val="Calibri"/>
        <family val="2"/>
      </rPr>
      <t>a.</t>
    </r>
    <r>
      <rPr>
        <sz val="11"/>
        <color theme="1"/>
        <rFont val="Calibri"/>
        <family val="2"/>
        <scheme val="minor"/>
      </rPr>
      <t xml:space="preserve"> In the </t>
    </r>
    <r>
      <rPr>
        <b/>
        <sz val="11"/>
        <color theme="1"/>
        <rFont val="Calibri"/>
        <family val="2"/>
        <scheme val="minor"/>
      </rPr>
      <t>Name of the company</t>
    </r>
    <r>
      <rPr>
        <sz val="11"/>
        <color theme="1"/>
        <rFont val="Calibri"/>
        <family val="2"/>
        <scheme val="minor"/>
      </rPr>
      <t xml:space="preserve"> column - use excel formula to determine the company (i.e. name followed after "@" and before ".com")</t>
    </r>
  </si>
  <si>
    <t>Answer All</t>
  </si>
  <si>
    <t>US</t>
  </si>
  <si>
    <t>INDIA</t>
  </si>
  <si>
    <t>CA</t>
  </si>
  <si>
    <t>TX</t>
  </si>
  <si>
    <t>AP</t>
  </si>
  <si>
    <t>UP</t>
  </si>
  <si>
    <t>TS</t>
  </si>
  <si>
    <t>;</t>
  </si>
  <si>
    <t>India</t>
  </si>
  <si>
    <t>NY</t>
  </si>
  <si>
    <t>NV</t>
  </si>
  <si>
    <t>MA</t>
  </si>
  <si>
    <t>MP</t>
  </si>
  <si>
    <t>HP</t>
  </si>
  <si>
    <t>Country</t>
  </si>
  <si>
    <t>State</t>
  </si>
  <si>
    <r>
      <rPr>
        <b/>
        <sz val="11"/>
        <color theme="1"/>
        <rFont val="Calibri"/>
        <family val="2"/>
      </rPr>
      <t>c.</t>
    </r>
    <r>
      <rPr>
        <sz val="11"/>
        <color theme="1"/>
        <rFont val="Calibri"/>
        <family val="2"/>
        <scheme val="minor"/>
      </rPr>
      <t xml:space="preserve"> In the "Proper Case" column - convert the string into a proper case string using an excel formula</t>
    </r>
  </si>
  <si>
    <t>Conditional Formatting:</t>
  </si>
  <si>
    <t>Rank each student as per the percentage achieved. Use the rank table which is in column M9</t>
  </si>
  <si>
    <r>
      <rPr>
        <b/>
        <sz val="11"/>
        <color theme="1"/>
        <rFont val="Calibri"/>
        <family val="2"/>
      </rPr>
      <t>a.</t>
    </r>
    <r>
      <rPr>
        <sz val="11"/>
        <color theme="1"/>
        <rFont val="Calibri"/>
        <family val="2"/>
        <scheme val="minor"/>
      </rPr>
      <t xml:space="preserve"> Determine the Expenses for the Month of August, September and December in the below table using excel INDEX formulas in their respective empty cells below</t>
    </r>
  </si>
  <si>
    <t xml:space="preserve">Desired Output: </t>
  </si>
  <si>
    <t>Region</t>
  </si>
  <si>
    <t>Central</t>
  </si>
  <si>
    <t>East</t>
  </si>
  <si>
    <t>West</t>
  </si>
  <si>
    <t>National</t>
  </si>
  <si>
    <t>FTE</t>
  </si>
  <si>
    <t>International</t>
  </si>
  <si>
    <t>With the data given below answer the question below using excel formula</t>
  </si>
  <si>
    <t>Count</t>
  </si>
  <si>
    <t>Total FTE</t>
  </si>
  <si>
    <t xml:space="preserve">Create a Bar graph based on the below data as shown in the below example: </t>
  </si>
  <si>
    <t>Period</t>
  </si>
  <si>
    <t>Pure Utilization</t>
  </si>
  <si>
    <t>PTO</t>
  </si>
  <si>
    <t>Holiday</t>
  </si>
  <si>
    <t>Availability</t>
  </si>
  <si>
    <t>P1</t>
  </si>
  <si>
    <t>P2</t>
  </si>
  <si>
    <t>P3</t>
  </si>
  <si>
    <t>P4</t>
  </si>
  <si>
    <t>P5</t>
  </si>
  <si>
    <t>P6</t>
  </si>
  <si>
    <t>Please use this space to create your graph:</t>
  </si>
  <si>
    <t>Example:</t>
  </si>
  <si>
    <t>Grand Total</t>
  </si>
  <si>
    <t>Data</t>
  </si>
  <si>
    <t>Name</t>
  </si>
  <si>
    <t>Email address</t>
  </si>
  <si>
    <t>Please split the information using ‘Text to Columns’ feature/option 
(Note: Column ‘A’ should not be disturbed)</t>
  </si>
  <si>
    <t>ID</t>
  </si>
  <si>
    <t>SET1</t>
  </si>
  <si>
    <t>SET2</t>
  </si>
  <si>
    <t>1763203</t>
  </si>
  <si>
    <t>1823946</t>
  </si>
  <si>
    <t>1877939</t>
  </si>
  <si>
    <t>1952707</t>
  </si>
  <si>
    <t>2046944</t>
  </si>
  <si>
    <t>2972623</t>
  </si>
  <si>
    <t>2972622</t>
  </si>
  <si>
    <t>3061938</t>
  </si>
  <si>
    <t>2783110</t>
  </si>
  <si>
    <t>2128168</t>
  </si>
  <si>
    <t>2170943</t>
  </si>
  <si>
    <t>2283661</t>
  </si>
  <si>
    <t>2350993</t>
  </si>
  <si>
    <t>2416073</t>
  </si>
  <si>
    <t>2464331</t>
  </si>
  <si>
    <t>2534110</t>
  </si>
  <si>
    <t>2695366</t>
  </si>
  <si>
    <t>1586078</t>
  </si>
  <si>
    <t>1648385</t>
  </si>
  <si>
    <t>1680416</t>
  </si>
  <si>
    <t>2100741</t>
  </si>
  <si>
    <t>2171342</t>
  </si>
  <si>
    <t>2253261</t>
  </si>
  <si>
    <t>2320020</t>
  </si>
  <si>
    <t>2374774</t>
  </si>
  <si>
    <t>2448222</t>
  </si>
  <si>
    <t>2533795</t>
  </si>
  <si>
    <t>2690963</t>
  </si>
  <si>
    <t>1618516</t>
  </si>
  <si>
    <t>1618517</t>
  </si>
  <si>
    <t>1948185</t>
  </si>
  <si>
    <t>1948184</t>
  </si>
  <si>
    <t>2037435</t>
  </si>
  <si>
    <t>2819111</t>
  </si>
  <si>
    <t>2911462</t>
  </si>
  <si>
    <t>2992854</t>
  </si>
  <si>
    <t>3052233</t>
  </si>
  <si>
    <t>2781394</t>
  </si>
  <si>
    <t>1771580</t>
  </si>
  <si>
    <t>1771581</t>
  </si>
  <si>
    <t>2916274</t>
  </si>
  <si>
    <t>2995394</t>
  </si>
  <si>
    <t>2100591</t>
  </si>
  <si>
    <t>2364113</t>
  </si>
  <si>
    <t>2364112</t>
  </si>
  <si>
    <t>2449998</t>
  </si>
  <si>
    <t>2449997</t>
  </si>
  <si>
    <t>2580812</t>
  </si>
  <si>
    <t>2703970</t>
  </si>
  <si>
    <t>2062967</t>
  </si>
  <si>
    <t>2062966</t>
  </si>
  <si>
    <t>2405558</t>
  </si>
  <si>
    <t>2405574</t>
  </si>
  <si>
    <t>3002660</t>
  </si>
  <si>
    <t>3002659</t>
  </si>
  <si>
    <t>2580080</t>
  </si>
  <si>
    <t>2580090</t>
  </si>
  <si>
    <t>1739199</t>
  </si>
  <si>
    <t>2788621</t>
  </si>
  <si>
    <t>2788620</t>
  </si>
  <si>
    <t>2810393</t>
  </si>
  <si>
    <t>2997531</t>
  </si>
  <si>
    <t>2997530</t>
  </si>
  <si>
    <t>1767177</t>
  </si>
  <si>
    <t>1827710</t>
  </si>
  <si>
    <t>2108912</t>
  </si>
  <si>
    <t>2225615</t>
  </si>
  <si>
    <t>2367651</t>
  </si>
  <si>
    <t>2367650</t>
  </si>
  <si>
    <t>2421381</t>
  </si>
  <si>
    <t>2487001</t>
  </si>
  <si>
    <t>2582144</t>
  </si>
  <si>
    <t>1899188</t>
  </si>
  <si>
    <t>2050828</t>
  </si>
  <si>
    <t>2050826</t>
  </si>
  <si>
    <t>2128418</t>
  </si>
  <si>
    <t>2170298</t>
  </si>
  <si>
    <t>2246293</t>
  </si>
  <si>
    <t>2350690</t>
  </si>
  <si>
    <t>2407518</t>
  </si>
  <si>
    <t>2484628</t>
  </si>
  <si>
    <t>2574639</t>
  </si>
  <si>
    <t>2684447</t>
  </si>
  <si>
    <t>2731740</t>
  </si>
  <si>
    <t>1583064</t>
  </si>
  <si>
    <t>1646633</t>
  </si>
  <si>
    <t>2987319</t>
  </si>
  <si>
    <t>3070333</t>
  </si>
  <si>
    <t>1741291</t>
  </si>
  <si>
    <t>1741290</t>
  </si>
  <si>
    <t>1824319</t>
  </si>
  <si>
    <t>1870396</t>
  </si>
  <si>
    <t>1985904</t>
  </si>
  <si>
    <t>2039110</t>
  </si>
  <si>
    <t>2862803</t>
  </si>
  <si>
    <t>2407969</t>
  </si>
  <si>
    <t>2963073</t>
  </si>
  <si>
    <t>3048391</t>
  </si>
  <si>
    <t>2414778</t>
  </si>
  <si>
    <t>2852366</t>
  </si>
  <si>
    <t>2852370</t>
  </si>
  <si>
    <t>2776747</t>
  </si>
  <si>
    <t>2688259</t>
  </si>
  <si>
    <t>2688261</t>
  </si>
  <si>
    <t>2256855</t>
  </si>
  <si>
    <t>2256850</t>
  </si>
  <si>
    <t>2338659</t>
  </si>
  <si>
    <t>2167543</t>
  </si>
  <si>
    <t>2350586</t>
  </si>
  <si>
    <t>2350587</t>
  </si>
  <si>
    <t>2689317</t>
  </si>
  <si>
    <t>1871065</t>
  </si>
  <si>
    <t>1942692</t>
  </si>
  <si>
    <t>2110183</t>
  </si>
  <si>
    <t>2033188</t>
  </si>
  <si>
    <t>2467902</t>
  </si>
  <si>
    <t>2919364</t>
  </si>
  <si>
    <t>2919363</t>
  </si>
  <si>
    <t>3069068</t>
  </si>
  <si>
    <t>2997616</t>
  </si>
  <si>
    <t>2460329</t>
  </si>
  <si>
    <t>2548235</t>
  </si>
  <si>
    <t>2742965</t>
  </si>
  <si>
    <t>1707200</t>
  </si>
  <si>
    <t>1707201</t>
  </si>
  <si>
    <t>1819041</t>
  </si>
  <si>
    <t>1819040</t>
  </si>
  <si>
    <t>1580505</t>
  </si>
  <si>
    <t>1580503</t>
  </si>
  <si>
    <t>2106984</t>
  </si>
  <si>
    <t>2150838</t>
  </si>
  <si>
    <t>1647326</t>
  </si>
  <si>
    <t>2262653</t>
  </si>
  <si>
    <t>2343055</t>
  </si>
  <si>
    <t>2402381</t>
  </si>
  <si>
    <t>2465180</t>
  </si>
  <si>
    <t>2562707</t>
  </si>
  <si>
    <t>2668960</t>
  </si>
  <si>
    <t>1709022</t>
  </si>
  <si>
    <t>1767675</t>
  </si>
  <si>
    <t>2782094</t>
  </si>
  <si>
    <t>2820604</t>
  </si>
  <si>
    <t>2912740</t>
  </si>
  <si>
    <t>2971050</t>
  </si>
  <si>
    <t>3057512</t>
  </si>
  <si>
    <t>1581223</t>
  </si>
  <si>
    <t>2114917</t>
  </si>
  <si>
    <t>2266276</t>
  </si>
  <si>
    <t>2266275</t>
  </si>
  <si>
    <t>2342928</t>
  </si>
  <si>
    <t>2500210</t>
  </si>
  <si>
    <t>2500211</t>
  </si>
  <si>
    <t>2556630</t>
  </si>
  <si>
    <t>2788259</t>
  </si>
  <si>
    <t>2788261</t>
  </si>
  <si>
    <t>1583147</t>
  </si>
  <si>
    <t>1711312</t>
  </si>
  <si>
    <t>1711313</t>
  </si>
  <si>
    <t>1830632</t>
  </si>
  <si>
    <t>1830633</t>
  </si>
  <si>
    <t>1870820</t>
  </si>
  <si>
    <t>1963028</t>
  </si>
  <si>
    <t>2044729</t>
  </si>
  <si>
    <t>2911463</t>
  </si>
  <si>
    <t>2911464</t>
  </si>
  <si>
    <t>2956564</t>
  </si>
  <si>
    <t>3053632</t>
  </si>
  <si>
    <t>1580082</t>
  </si>
  <si>
    <t>1643955</t>
  </si>
  <si>
    <t>1707288</t>
  </si>
  <si>
    <t>2097273</t>
  </si>
  <si>
    <t>2173885</t>
  </si>
  <si>
    <t>2253518</t>
  </si>
  <si>
    <t>2338463</t>
  </si>
  <si>
    <t>2399279</t>
  </si>
  <si>
    <t>2449971</t>
  </si>
  <si>
    <t>2560376</t>
  </si>
  <si>
    <t>2696712</t>
  </si>
  <si>
    <t>1763649</t>
  </si>
  <si>
    <t>1824781</t>
  </si>
  <si>
    <t>1866759</t>
  </si>
  <si>
    <t>1944916</t>
  </si>
  <si>
    <t>2036500</t>
  </si>
  <si>
    <t>2774115</t>
  </si>
  <si>
    <t>1825918</t>
  </si>
  <si>
    <t>1885457</t>
  </si>
  <si>
    <t>1941339</t>
  </si>
  <si>
    <t>2003161</t>
  </si>
  <si>
    <t>1625443</t>
  </si>
  <si>
    <t>1625442</t>
  </si>
  <si>
    <t>2438152</t>
  </si>
  <si>
    <t>2438153</t>
  </si>
  <si>
    <t>2491224</t>
  </si>
  <si>
    <t>1715083</t>
  </si>
  <si>
    <t>1892564</t>
  </si>
  <si>
    <t>2045461</t>
  </si>
  <si>
    <t>2045464</t>
  </si>
  <si>
    <t>2075756</t>
  </si>
  <si>
    <t>2178293</t>
  </si>
  <si>
    <t>1939714</t>
  </si>
  <si>
    <t>3064819</t>
  </si>
  <si>
    <t>1957967</t>
  </si>
  <si>
    <t>3056822</t>
  </si>
  <si>
    <t>2478063</t>
  </si>
  <si>
    <t>2478061</t>
  </si>
  <si>
    <t>1945009</t>
  </si>
  <si>
    <t>3059366</t>
  </si>
  <si>
    <t>3059363</t>
  </si>
  <si>
    <t>2172790</t>
  </si>
  <si>
    <t>1870566</t>
  </si>
  <si>
    <t>2338798</t>
  </si>
  <si>
    <t>2412798</t>
  </si>
  <si>
    <t>2681703</t>
  </si>
  <si>
    <t>1876310</t>
  </si>
  <si>
    <t>1876301</t>
  </si>
  <si>
    <t>2165507</t>
  </si>
  <si>
    <t>2165506</t>
  </si>
  <si>
    <t>2342406</t>
  </si>
  <si>
    <t>2342404</t>
  </si>
  <si>
    <t>1869037</t>
  </si>
  <si>
    <t>1869034</t>
  </si>
  <si>
    <t>2102414</t>
  </si>
  <si>
    <t>2038283</t>
  </si>
  <si>
    <t>2254321</t>
  </si>
  <si>
    <t>2577100</t>
  </si>
  <si>
    <t>1581118</t>
  </si>
  <si>
    <t>1709420</t>
  </si>
  <si>
    <t>1709095</t>
  </si>
  <si>
    <t>1709090</t>
  </si>
  <si>
    <t>1644899</t>
  </si>
  <si>
    <t>1767316</t>
  </si>
  <si>
    <t>1824461</t>
  </si>
  <si>
    <t>2455832</t>
  </si>
  <si>
    <t>2791186</t>
  </si>
  <si>
    <t>2916942</t>
  </si>
  <si>
    <t>2916940</t>
  </si>
  <si>
    <t>2987702</t>
  </si>
  <si>
    <t>2634045</t>
  </si>
  <si>
    <t>2634044</t>
  </si>
  <si>
    <t>1599979</t>
  </si>
  <si>
    <t>1738286</t>
  </si>
  <si>
    <t>1738287</t>
  </si>
  <si>
    <t>2961995</t>
  </si>
  <si>
    <t>2961990</t>
  </si>
  <si>
    <t>2171464</t>
  </si>
  <si>
    <t>2481299</t>
  </si>
  <si>
    <t>1940850</t>
  </si>
  <si>
    <t>1940852</t>
  </si>
  <si>
    <t>3052470</t>
  </si>
  <si>
    <t>2173637</t>
  </si>
  <si>
    <t>3057614</t>
  </si>
  <si>
    <t>2408640</t>
  </si>
  <si>
    <t>2263498</t>
  </si>
  <si>
    <t>2110994</t>
  </si>
  <si>
    <t>2421033</t>
  </si>
  <si>
    <t>2699087</t>
  </si>
  <si>
    <t>1886203</t>
  </si>
  <si>
    <t>2039286</t>
  </si>
  <si>
    <t>2779054</t>
  </si>
  <si>
    <t>2787495</t>
  </si>
  <si>
    <t>2320696</t>
  </si>
  <si>
    <t>2537333</t>
  </si>
  <si>
    <t>2537334</t>
  </si>
  <si>
    <t>1586124</t>
  </si>
  <si>
    <t>1647232</t>
  </si>
  <si>
    <t>1714946</t>
  </si>
  <si>
    <t>1771446</t>
  </si>
  <si>
    <t>1832086</t>
  </si>
  <si>
    <t>1969484</t>
  </si>
  <si>
    <t>2013388</t>
  </si>
  <si>
    <t>3005655</t>
  </si>
  <si>
    <t>3005656</t>
  </si>
  <si>
    <t>2080583</t>
  </si>
  <si>
    <t>2227335</t>
  </si>
  <si>
    <t>2533772</t>
  </si>
  <si>
    <t>2621058</t>
  </si>
  <si>
    <t>2320860</t>
  </si>
  <si>
    <t>1778598</t>
  </si>
  <si>
    <t>1778601</t>
  </si>
  <si>
    <t>1708374</t>
  </si>
  <si>
    <t>1764722</t>
  </si>
  <si>
    <t>1807223</t>
  </si>
  <si>
    <t>1904860</t>
  </si>
  <si>
    <t>1938557</t>
  </si>
  <si>
    <t>2035291</t>
  </si>
  <si>
    <t>2781402</t>
  </si>
  <si>
    <t>2962935</t>
  </si>
  <si>
    <t>2962936</t>
  </si>
  <si>
    <t>3049795</t>
  </si>
  <si>
    <t>1579780</t>
  </si>
  <si>
    <t>1645239</t>
  </si>
  <si>
    <t>2406206</t>
  </si>
  <si>
    <t>2452985</t>
  </si>
  <si>
    <t>2530734</t>
  </si>
  <si>
    <t>2623898</t>
  </si>
  <si>
    <t>2098548</t>
  </si>
  <si>
    <t>2172738</t>
  </si>
  <si>
    <t>2253329</t>
  </si>
  <si>
    <t>2355936</t>
  </si>
  <si>
    <t>1738094</t>
  </si>
  <si>
    <t>1738096</t>
  </si>
  <si>
    <t>1779363</t>
  </si>
  <si>
    <t>1880969</t>
  </si>
  <si>
    <t>1944895</t>
  </si>
  <si>
    <t>1991910</t>
  </si>
  <si>
    <t>1614957</t>
  </si>
  <si>
    <t>2123797</t>
  </si>
  <si>
    <t>2548206</t>
  </si>
  <si>
    <t>2548205</t>
  </si>
  <si>
    <t>2776325</t>
  </si>
  <si>
    <t>2961365</t>
  </si>
  <si>
    <t>2961357</t>
  </si>
  <si>
    <t>3052927</t>
  </si>
  <si>
    <t>1978584</t>
  </si>
  <si>
    <t>1978583</t>
  </si>
  <si>
    <t>2035326</t>
  </si>
  <si>
    <t>2098128</t>
  </si>
  <si>
    <t>2167422</t>
  </si>
  <si>
    <t>2254384</t>
  </si>
  <si>
    <t>2340971</t>
  </si>
  <si>
    <t>2402021</t>
  </si>
  <si>
    <t>2480063</t>
  </si>
  <si>
    <t>2547917</t>
  </si>
  <si>
    <t>2698788</t>
  </si>
  <si>
    <t>1760212</t>
  </si>
  <si>
    <t>1764887</t>
  </si>
  <si>
    <t>1797393</t>
  </si>
  <si>
    <t>1870725</t>
  </si>
  <si>
    <t>1919076</t>
  </si>
  <si>
    <t>1743089</t>
  </si>
  <si>
    <t>1743088</t>
  </si>
  <si>
    <t>1785178</t>
  </si>
  <si>
    <t>1845303</t>
  </si>
  <si>
    <t>1918409</t>
  </si>
  <si>
    <t>2009514</t>
  </si>
  <si>
    <t>1942190</t>
  </si>
  <si>
    <t>1869310</t>
  </si>
  <si>
    <t>1869306</t>
  </si>
  <si>
    <t>3017066</t>
  </si>
  <si>
    <t>3062326</t>
  </si>
  <si>
    <t>2093251</t>
  </si>
  <si>
    <t>2093250</t>
  </si>
  <si>
    <t>2142906</t>
  </si>
  <si>
    <t>2382076</t>
  </si>
  <si>
    <t>2382075</t>
  </si>
  <si>
    <t>2872368</t>
  </si>
  <si>
    <t>2872367</t>
  </si>
  <si>
    <t>1582403</t>
  </si>
  <si>
    <t>1582402</t>
  </si>
  <si>
    <t>2786638</t>
  </si>
  <si>
    <t>2856907</t>
  </si>
  <si>
    <t>2856910</t>
  </si>
  <si>
    <t>2957809</t>
  </si>
  <si>
    <t>2112579</t>
  </si>
  <si>
    <t>2171620</t>
  </si>
  <si>
    <t>2244602</t>
  </si>
  <si>
    <t>2313193</t>
  </si>
  <si>
    <t>2412226</t>
  </si>
  <si>
    <t>2484175</t>
  </si>
  <si>
    <t>2536157</t>
  </si>
  <si>
    <t>2684949</t>
  </si>
  <si>
    <t>2728195</t>
  </si>
  <si>
    <t>2857321</t>
  </si>
  <si>
    <t>2857318</t>
  </si>
  <si>
    <t>2996873</t>
  </si>
  <si>
    <t>3049250</t>
  </si>
  <si>
    <t>1586041</t>
  </si>
  <si>
    <t>1646653</t>
  </si>
  <si>
    <t>1707845</t>
  </si>
  <si>
    <t>1824662</t>
  </si>
  <si>
    <t>1824666</t>
  </si>
  <si>
    <t>1874183</t>
  </si>
  <si>
    <t>1941095</t>
  </si>
  <si>
    <t>2004404</t>
  </si>
  <si>
    <t>1612540</t>
  </si>
  <si>
    <t>1612539</t>
  </si>
  <si>
    <t>1896965</t>
  </si>
  <si>
    <t>1896966</t>
  </si>
  <si>
    <t>1919442</t>
  </si>
  <si>
    <t>1988287</t>
  </si>
  <si>
    <t>2084608</t>
  </si>
  <si>
    <t>2178529</t>
  </si>
  <si>
    <t>2449968</t>
  </si>
  <si>
    <t>2449969</t>
  </si>
  <si>
    <t>2547823</t>
  </si>
  <si>
    <t>3025035</t>
  </si>
  <si>
    <t>3025034</t>
  </si>
  <si>
    <t>3056068</t>
  </si>
  <si>
    <t>1742294</t>
  </si>
  <si>
    <t>1742295</t>
  </si>
  <si>
    <t>2301386</t>
  </si>
  <si>
    <t>2301387</t>
  </si>
  <si>
    <t>2488200</t>
  </si>
  <si>
    <t>2488195</t>
  </si>
  <si>
    <t>2534824</t>
  </si>
  <si>
    <t>2633985</t>
  </si>
  <si>
    <t>2997686</t>
  </si>
  <si>
    <t>2997685</t>
  </si>
  <si>
    <t>3063336</t>
  </si>
  <si>
    <t>1949160</t>
  </si>
  <si>
    <t>1949153</t>
  </si>
  <si>
    <t>2037604</t>
  </si>
  <si>
    <t>2088628</t>
  </si>
  <si>
    <t>1826175</t>
  </si>
  <si>
    <t>1826174</t>
  </si>
  <si>
    <t>1923226</t>
  </si>
  <si>
    <t>1923227</t>
  </si>
  <si>
    <t>2000824</t>
  </si>
  <si>
    <t>2090400</t>
  </si>
  <si>
    <t>2400100</t>
  </si>
  <si>
    <t>2400101</t>
  </si>
  <si>
    <t>2617667</t>
  </si>
  <si>
    <t>2617666</t>
  </si>
  <si>
    <t>2971056</t>
  </si>
  <si>
    <t>2971061</t>
  </si>
  <si>
    <t>3054234</t>
  </si>
  <si>
    <t>2112666</t>
  </si>
  <si>
    <t>2175129</t>
  </si>
  <si>
    <t>2252033</t>
  </si>
  <si>
    <t>2336659</t>
  </si>
  <si>
    <t>2407869</t>
  </si>
  <si>
    <t>2464591</t>
  </si>
  <si>
    <t>2559861</t>
  </si>
  <si>
    <t>2634344</t>
  </si>
  <si>
    <t>1708609</t>
  </si>
  <si>
    <t>1708603</t>
  </si>
  <si>
    <t>1828316</t>
  </si>
  <si>
    <t>1828310</t>
  </si>
  <si>
    <t>1870880</t>
  </si>
  <si>
    <t>1951469</t>
  </si>
  <si>
    <t>2040439</t>
  </si>
  <si>
    <t>2788378</t>
  </si>
  <si>
    <t>2047578</t>
  </si>
  <si>
    <t>2787931</t>
  </si>
  <si>
    <t>2787932</t>
  </si>
  <si>
    <t>1588618</t>
  </si>
  <si>
    <t>1588619</t>
  </si>
  <si>
    <t>1753963</t>
  </si>
  <si>
    <t>1753962</t>
  </si>
  <si>
    <t>2232068</t>
  </si>
  <si>
    <t>2232067</t>
  </si>
  <si>
    <t>2361743</t>
  </si>
  <si>
    <t>1808407</t>
  </si>
  <si>
    <t>1927593</t>
  </si>
  <si>
    <t>1927594</t>
  </si>
  <si>
    <t>1777961</t>
  </si>
  <si>
    <t>1777964</t>
  </si>
  <si>
    <t>1848382</t>
  </si>
  <si>
    <t>1969571</t>
  </si>
  <si>
    <t>2277253</t>
  </si>
  <si>
    <t>2277254</t>
  </si>
  <si>
    <t>2325438</t>
  </si>
  <si>
    <t>2534627</t>
  </si>
  <si>
    <t>2534626</t>
  </si>
  <si>
    <t>3077174</t>
  </si>
  <si>
    <t>3077175</t>
  </si>
  <si>
    <t>2551947</t>
  </si>
  <si>
    <t>2551946</t>
  </si>
  <si>
    <t>3002479</t>
  </si>
  <si>
    <t>3002480</t>
  </si>
  <si>
    <t>PARENT1</t>
  </si>
  <si>
    <t>PARENT2</t>
  </si>
  <si>
    <t>PARENT3</t>
  </si>
  <si>
    <t>PARENT4</t>
  </si>
  <si>
    <t>PARENT5</t>
  </si>
  <si>
    <t>PARENT6</t>
  </si>
  <si>
    <t>PARENT7</t>
  </si>
  <si>
    <t>PARENT8</t>
  </si>
  <si>
    <t>PARENT9</t>
  </si>
  <si>
    <t>PARENT10</t>
  </si>
  <si>
    <t>PARENT11</t>
  </si>
  <si>
    <t>PARENT12</t>
  </si>
  <si>
    <t>PARENT13</t>
  </si>
  <si>
    <t>PARENT14</t>
  </si>
  <si>
    <t>PARENT15</t>
  </si>
  <si>
    <t>PARENT16</t>
  </si>
  <si>
    <t>PARENT17</t>
  </si>
  <si>
    <t>PARENT18</t>
  </si>
  <si>
    <t>PARENT19</t>
  </si>
  <si>
    <t>PARENT20</t>
  </si>
  <si>
    <t>PARENT21</t>
  </si>
  <si>
    <t>PARENT22</t>
  </si>
  <si>
    <t>PARENT23</t>
  </si>
  <si>
    <t>PARENT24</t>
  </si>
  <si>
    <t>PARENT25</t>
  </si>
  <si>
    <t>PARENT26</t>
  </si>
  <si>
    <t>PARENT27</t>
  </si>
  <si>
    <t>PARENT28</t>
  </si>
  <si>
    <t>PARENT29</t>
  </si>
  <si>
    <t>PARENT30</t>
  </si>
  <si>
    <t>PARENT31</t>
  </si>
  <si>
    <t>PARENT32</t>
  </si>
  <si>
    <t>PARENT33</t>
  </si>
  <si>
    <t>PARENT34</t>
  </si>
  <si>
    <t>PARENT35</t>
  </si>
  <si>
    <t>PARENT36</t>
  </si>
  <si>
    <t>PARENT37</t>
  </si>
  <si>
    <t>PARENT38</t>
  </si>
  <si>
    <t>PARENT39</t>
  </si>
  <si>
    <t>PARENT40</t>
  </si>
  <si>
    <t>PARENT41</t>
  </si>
  <si>
    <t>PARENT42</t>
  </si>
  <si>
    <t>PARENT43</t>
  </si>
  <si>
    <t>PARENT44</t>
  </si>
  <si>
    <t>PARENT45</t>
  </si>
  <si>
    <t>PARENT46</t>
  </si>
  <si>
    <t>PARENT47</t>
  </si>
  <si>
    <t>PARENT48</t>
  </si>
  <si>
    <t>PARENT49</t>
  </si>
  <si>
    <t>PARENT50</t>
  </si>
  <si>
    <t>PARENT51</t>
  </si>
  <si>
    <t>PARENT52</t>
  </si>
  <si>
    <t>PARENT53</t>
  </si>
  <si>
    <t>PARENT54</t>
  </si>
  <si>
    <t>PARENT55</t>
  </si>
  <si>
    <t>PARENT56</t>
  </si>
  <si>
    <t>PARENT57</t>
  </si>
  <si>
    <t>PARENT58</t>
  </si>
  <si>
    <t>PARENT59</t>
  </si>
  <si>
    <t>PARENT60</t>
  </si>
  <si>
    <t>PARENT61</t>
  </si>
  <si>
    <t>PARENT62</t>
  </si>
  <si>
    <t>PARENT63</t>
  </si>
  <si>
    <t>PARENT64</t>
  </si>
  <si>
    <t>PARENT65</t>
  </si>
  <si>
    <t>PARENT66</t>
  </si>
  <si>
    <t>PARENT67</t>
  </si>
  <si>
    <t>PARENT68</t>
  </si>
  <si>
    <t>PARENT69</t>
  </si>
  <si>
    <t>PARENT70</t>
  </si>
  <si>
    <t>PARENT71</t>
  </si>
  <si>
    <t>PARENT72</t>
  </si>
  <si>
    <t>PARENT73</t>
  </si>
  <si>
    <t>PARENT74</t>
  </si>
  <si>
    <t>PARENT75</t>
  </si>
  <si>
    <t>PARENT76</t>
  </si>
  <si>
    <t>PARENT77</t>
  </si>
  <si>
    <t>PARENT78</t>
  </si>
  <si>
    <t>PARENT79</t>
  </si>
  <si>
    <t>PARENT80</t>
  </si>
  <si>
    <t>PARENT81</t>
  </si>
  <si>
    <t>PARENT82</t>
  </si>
  <si>
    <t>PARENT83</t>
  </si>
  <si>
    <t>PARENT84</t>
  </si>
  <si>
    <t>PARENT85</t>
  </si>
  <si>
    <t>PARENT86</t>
  </si>
  <si>
    <t>PARENT87</t>
  </si>
  <si>
    <t>PARENT88</t>
  </si>
  <si>
    <t>PARENT89</t>
  </si>
  <si>
    <t>PARENT90</t>
  </si>
  <si>
    <t>PARENT91</t>
  </si>
  <si>
    <t>PARENT92</t>
  </si>
  <si>
    <t>PARENT93</t>
  </si>
  <si>
    <t>PARENT94</t>
  </si>
  <si>
    <t>PARENT95</t>
  </si>
  <si>
    <t>PARENT96</t>
  </si>
  <si>
    <t>PARENT97</t>
  </si>
  <si>
    <t>PARENT98</t>
  </si>
  <si>
    <t>PARENT99</t>
  </si>
  <si>
    <t>PARENT100</t>
  </si>
  <si>
    <t>PARENT101</t>
  </si>
  <si>
    <t>PARENT102</t>
  </si>
  <si>
    <t>PARENT103</t>
  </si>
  <si>
    <t>PARENT104</t>
  </si>
  <si>
    <t>PARENT105</t>
  </si>
  <si>
    <t>PARENT106</t>
  </si>
  <si>
    <t>PARENT107</t>
  </si>
  <si>
    <t>PARENT108</t>
  </si>
  <si>
    <t>PARENT109</t>
  </si>
  <si>
    <t>PARENT110</t>
  </si>
  <si>
    <t>PARENT111</t>
  </si>
  <si>
    <t>PARENT112</t>
  </si>
  <si>
    <t>PARENT113</t>
  </si>
  <si>
    <t>PARENT114</t>
  </si>
  <si>
    <t>PARENT115</t>
  </si>
  <si>
    <t>PARENT116</t>
  </si>
  <si>
    <t>PARENT117</t>
  </si>
  <si>
    <t>PARENT118</t>
  </si>
  <si>
    <t>PARENT119</t>
  </si>
  <si>
    <t>PARENT120</t>
  </si>
  <si>
    <t>PARENT121</t>
  </si>
  <si>
    <t>PARENT122</t>
  </si>
  <si>
    <t>PARENT123</t>
  </si>
  <si>
    <t>PARENT124</t>
  </si>
  <si>
    <t>PARENT125</t>
  </si>
  <si>
    <t>PARENT126</t>
  </si>
  <si>
    <t>PARENT127</t>
  </si>
  <si>
    <t>PARENT128</t>
  </si>
  <si>
    <t>PARENT129</t>
  </si>
  <si>
    <t>PARENT130</t>
  </si>
  <si>
    <t>PARENT131</t>
  </si>
  <si>
    <t>PARENT132</t>
  </si>
  <si>
    <t>PARENT133</t>
  </si>
  <si>
    <t>PARENT134</t>
  </si>
  <si>
    <t>PARENT135</t>
  </si>
  <si>
    <t>PARENT136</t>
  </si>
  <si>
    <t>PARENT137</t>
  </si>
  <si>
    <t>PARENT138</t>
  </si>
  <si>
    <t>PARENT139</t>
  </si>
  <si>
    <t>PARENT140</t>
  </si>
  <si>
    <t>PARENT141</t>
  </si>
  <si>
    <t>PARENT142</t>
  </si>
  <si>
    <t>PARENT143</t>
  </si>
  <si>
    <t>PARENT144</t>
  </si>
  <si>
    <t>PARENT145</t>
  </si>
  <si>
    <t>PARENT146</t>
  </si>
  <si>
    <t>PARENT147</t>
  </si>
  <si>
    <t>PARENT148</t>
  </si>
  <si>
    <t>PARENT149</t>
  </si>
  <si>
    <t>PARENT150</t>
  </si>
  <si>
    <t>PARENT151</t>
  </si>
  <si>
    <t>PARENT152</t>
  </si>
  <si>
    <t>PARENT153</t>
  </si>
  <si>
    <t>PARENT154</t>
  </si>
  <si>
    <t>PARENT155</t>
  </si>
  <si>
    <t>PARENT156</t>
  </si>
  <si>
    <t>PARENT157</t>
  </si>
  <si>
    <t>PARENT158</t>
  </si>
  <si>
    <t>PARENT159</t>
  </si>
  <si>
    <t>PARENT160</t>
  </si>
  <si>
    <t>PARENT161</t>
  </si>
  <si>
    <t>PARENT162</t>
  </si>
  <si>
    <t>PARENT163</t>
  </si>
  <si>
    <t>PARENT164</t>
  </si>
  <si>
    <t>PARENT165</t>
  </si>
  <si>
    <t>PARENT166</t>
  </si>
  <si>
    <t>PARENT167</t>
  </si>
  <si>
    <t>PARENT168</t>
  </si>
  <si>
    <t>PARENT169</t>
  </si>
  <si>
    <t>PARENT170</t>
  </si>
  <si>
    <t>PARENT171</t>
  </si>
  <si>
    <t>PARENT172</t>
  </si>
  <si>
    <t>PARENT173</t>
  </si>
  <si>
    <t>PARENT174</t>
  </si>
  <si>
    <t>PARENT175</t>
  </si>
  <si>
    <t>PARENT176</t>
  </si>
  <si>
    <t>PARENT177</t>
  </si>
  <si>
    <t>PARENT178</t>
  </si>
  <si>
    <t>PARENT179</t>
  </si>
  <si>
    <t>PARENT180</t>
  </si>
  <si>
    <t>PARENT181</t>
  </si>
  <si>
    <t>PARENT182</t>
  </si>
  <si>
    <t>PARENT183</t>
  </si>
  <si>
    <t>PARENT184</t>
  </si>
  <si>
    <t>PARENT185</t>
  </si>
  <si>
    <t>PARENT186</t>
  </si>
  <si>
    <t>PARENT187</t>
  </si>
  <si>
    <t>PARENT188</t>
  </si>
  <si>
    <t>PARENT189</t>
  </si>
  <si>
    <t>PARENT190</t>
  </si>
  <si>
    <t>PARENT191</t>
  </si>
  <si>
    <t>PARENT192</t>
  </si>
  <si>
    <t>PARENT193</t>
  </si>
  <si>
    <t>PARENT194</t>
  </si>
  <si>
    <t>PARENT195</t>
  </si>
  <si>
    <t>PARENT196</t>
  </si>
  <si>
    <t>PARENT197</t>
  </si>
  <si>
    <t>PARENT198</t>
  </si>
  <si>
    <t>PARENT199</t>
  </si>
  <si>
    <t>PARENT200</t>
  </si>
  <si>
    <t>PARENT201</t>
  </si>
  <si>
    <t>PARENT202</t>
  </si>
  <si>
    <t>PARENT203</t>
  </si>
  <si>
    <t>PARENT204</t>
  </si>
  <si>
    <t>PARENT205</t>
  </si>
  <si>
    <t>PARENT206</t>
  </si>
  <si>
    <t>PARENT207</t>
  </si>
  <si>
    <t>PARENT208</t>
  </si>
  <si>
    <t>PARENT209</t>
  </si>
  <si>
    <t>PARENT210</t>
  </si>
  <si>
    <t>PARENT211</t>
  </si>
  <si>
    <t>PARENT212</t>
  </si>
  <si>
    <t>PARENT213</t>
  </si>
  <si>
    <t>PARENT214</t>
  </si>
  <si>
    <t>PARENT215</t>
  </si>
  <si>
    <t>PARENT216</t>
  </si>
  <si>
    <t>PARENT217</t>
  </si>
  <si>
    <t>PARENT218</t>
  </si>
  <si>
    <t>PARENT219</t>
  </si>
  <si>
    <t>PARENT220</t>
  </si>
  <si>
    <t>PARENT221</t>
  </si>
  <si>
    <t>PARENT222</t>
  </si>
  <si>
    <t>PARENT223</t>
  </si>
  <si>
    <t>PARENT224</t>
  </si>
  <si>
    <t>PARENT225</t>
  </si>
  <si>
    <t>PARENT226</t>
  </si>
  <si>
    <t>PARENT227</t>
  </si>
  <si>
    <t>PARENT228</t>
  </si>
  <si>
    <t>PARENT229</t>
  </si>
  <si>
    <t>PARENT230</t>
  </si>
  <si>
    <t>PARENT231</t>
  </si>
  <si>
    <t>PARENT232</t>
  </si>
  <si>
    <t>PARENT233</t>
  </si>
  <si>
    <t>PARENT234</t>
  </si>
  <si>
    <t>PARENT235</t>
  </si>
  <si>
    <t>PARENT236</t>
  </si>
  <si>
    <t>PARENT237</t>
  </si>
  <si>
    <t>PARENT238</t>
  </si>
  <si>
    <t>PARENT239</t>
  </si>
  <si>
    <t>PARENT240</t>
  </si>
  <si>
    <t>PARENT241</t>
  </si>
  <si>
    <t>PARENT242</t>
  </si>
  <si>
    <t>PARENT243</t>
  </si>
  <si>
    <t>PARENT244</t>
  </si>
  <si>
    <t>PARENT245</t>
  </si>
  <si>
    <t>PARENT246</t>
  </si>
  <si>
    <t>PARENT247</t>
  </si>
  <si>
    <t>PARENT248</t>
  </si>
  <si>
    <t>PARENT249</t>
  </si>
  <si>
    <t>PARENT250</t>
  </si>
  <si>
    <t>PARENT251</t>
  </si>
  <si>
    <t>PARENT252</t>
  </si>
  <si>
    <t>PARENT253</t>
  </si>
  <si>
    <t>PARENT254</t>
  </si>
  <si>
    <t>PARENT255</t>
  </si>
  <si>
    <t>PARENT256</t>
  </si>
  <si>
    <t>PARENT257</t>
  </si>
  <si>
    <t>PARENT258</t>
  </si>
  <si>
    <t>PARENT259</t>
  </si>
  <si>
    <t>PARENT260</t>
  </si>
  <si>
    <t>PARENT261</t>
  </si>
  <si>
    <t>PARENT262</t>
  </si>
  <si>
    <t>PARENT263</t>
  </si>
  <si>
    <t>PARENT264</t>
  </si>
  <si>
    <t>PARENT265</t>
  </si>
  <si>
    <t>PARENT266</t>
  </si>
  <si>
    <t>PARENT267</t>
  </si>
  <si>
    <t>PARENT268</t>
  </si>
  <si>
    <t>PARENT269</t>
  </si>
  <si>
    <t>PARENT270</t>
  </si>
  <si>
    <t>PARENT271</t>
  </si>
  <si>
    <t>PARENT272</t>
  </si>
  <si>
    <t>PARENT273</t>
  </si>
  <si>
    <t>PARENT274</t>
  </si>
  <si>
    <t>PARENT275</t>
  </si>
  <si>
    <t>PARENT276</t>
  </si>
  <si>
    <t>PARENT277</t>
  </si>
  <si>
    <t>PARENT278</t>
  </si>
  <si>
    <t>PARENT279</t>
  </si>
  <si>
    <t>PARENT280</t>
  </si>
  <si>
    <t>PARENT281</t>
  </si>
  <si>
    <t>PARENT282</t>
  </si>
  <si>
    <t>PARENT283</t>
  </si>
  <si>
    <t>PARENT284</t>
  </si>
  <si>
    <t>PARENT285</t>
  </si>
  <si>
    <t>PARENT286</t>
  </si>
  <si>
    <t>PARENT287</t>
  </si>
  <si>
    <t>PARENT288</t>
  </si>
  <si>
    <t>PARENT289</t>
  </si>
  <si>
    <t>PARENT290</t>
  </si>
  <si>
    <t>PARENT291</t>
  </si>
  <si>
    <t>PARENT292</t>
  </si>
  <si>
    <t>PARENT293</t>
  </si>
  <si>
    <t>PARENT294</t>
  </si>
  <si>
    <t>PARENT295</t>
  </si>
  <si>
    <t>PARENT296</t>
  </si>
  <si>
    <t>PARENT297</t>
  </si>
  <si>
    <t>PARENT298</t>
  </si>
  <si>
    <t>PARENT299</t>
  </si>
  <si>
    <t>PARENT300</t>
  </si>
  <si>
    <t>PARENT301</t>
  </si>
  <si>
    <t>PARENT302</t>
  </si>
  <si>
    <t>PARENT303</t>
  </si>
  <si>
    <t>PARENT304</t>
  </si>
  <si>
    <t>PARENT305</t>
  </si>
  <si>
    <t>PARENT306</t>
  </si>
  <si>
    <t>PARENT307</t>
  </si>
  <si>
    <t>PARENT308</t>
  </si>
  <si>
    <t>PARENT309</t>
  </si>
  <si>
    <t>PARENT310</t>
  </si>
  <si>
    <t>PARENT311</t>
  </si>
  <si>
    <t>PARENT312</t>
  </si>
  <si>
    <t>PARENT313</t>
  </si>
  <si>
    <t>PARENT314</t>
  </si>
  <si>
    <t>PARENT315</t>
  </si>
  <si>
    <t>PARENT316</t>
  </si>
  <si>
    <t>PARENT317</t>
  </si>
  <si>
    <t>PARENT318</t>
  </si>
  <si>
    <t>PARENT319</t>
  </si>
  <si>
    <t>PARENT320</t>
  </si>
  <si>
    <t>PARENT321</t>
  </si>
  <si>
    <t>PARENT322</t>
  </si>
  <si>
    <t>PARENT323</t>
  </si>
  <si>
    <t>PARENT324</t>
  </si>
  <si>
    <t>PARENT325</t>
  </si>
  <si>
    <t>PARENT326</t>
  </si>
  <si>
    <t>PARENT327</t>
  </si>
  <si>
    <t>PARENT328</t>
  </si>
  <si>
    <t>PARENT329</t>
  </si>
  <si>
    <t>PARENT330</t>
  </si>
  <si>
    <t>PARENT331</t>
  </si>
  <si>
    <t>PARENT332</t>
  </si>
  <si>
    <t>PARENT333</t>
  </si>
  <si>
    <t>PARENT334</t>
  </si>
  <si>
    <t>PARENT335</t>
  </si>
  <si>
    <t>PARENT336</t>
  </si>
  <si>
    <t>PARENT337</t>
  </si>
  <si>
    <t>PARENT338</t>
  </si>
  <si>
    <t>PARENT339</t>
  </si>
  <si>
    <t>PARENT340</t>
  </si>
  <si>
    <t>PARENT341</t>
  </si>
  <si>
    <t>PARENT342</t>
  </si>
  <si>
    <t>PARENT343</t>
  </si>
  <si>
    <t>PARENT344</t>
  </si>
  <si>
    <t>PARENT345</t>
  </si>
  <si>
    <t>PARENT346</t>
  </si>
  <si>
    <t>PARENT347</t>
  </si>
  <si>
    <t>PARENT348</t>
  </si>
  <si>
    <t>PARENT349</t>
  </si>
  <si>
    <t>PARENT350</t>
  </si>
  <si>
    <t>PARENT351</t>
  </si>
  <si>
    <t>PARENT352</t>
  </si>
  <si>
    <t>PARENT353</t>
  </si>
  <si>
    <t>PARENT354</t>
  </si>
  <si>
    <t>PARENT355</t>
  </si>
  <si>
    <t>PARENT356</t>
  </si>
  <si>
    <t>PARENT357</t>
  </si>
  <si>
    <t>PARENT358</t>
  </si>
  <si>
    <t>PARENT359</t>
  </si>
  <si>
    <t>PARENT360</t>
  </si>
  <si>
    <t>PARENT361</t>
  </si>
  <si>
    <t>PARENT362</t>
  </si>
  <si>
    <t>PARENT363</t>
  </si>
  <si>
    <t>PARENT364</t>
  </si>
  <si>
    <t>PARENT365</t>
  </si>
  <si>
    <t>PARENT366</t>
  </si>
  <si>
    <t>PARENT367</t>
  </si>
  <si>
    <t>PARENT368</t>
  </si>
  <si>
    <t>PARENT369</t>
  </si>
  <si>
    <t>PARENT370</t>
  </si>
  <si>
    <t>PARENT371</t>
  </si>
  <si>
    <t>PARENT372</t>
  </si>
  <si>
    <t>PARENT373</t>
  </si>
  <si>
    <t>PARENT374</t>
  </si>
  <si>
    <t>PARENT375</t>
  </si>
  <si>
    <t>PARENT376</t>
  </si>
  <si>
    <t>PARENT377</t>
  </si>
  <si>
    <t>PARENT378</t>
  </si>
  <si>
    <t>PARENT379</t>
  </si>
  <si>
    <t>PARENT380</t>
  </si>
  <si>
    <t>PARENT381</t>
  </si>
  <si>
    <t>PARENT382</t>
  </si>
  <si>
    <t>PARENT383</t>
  </si>
  <si>
    <t>PARENT384</t>
  </si>
  <si>
    <t>PARENT385</t>
  </si>
  <si>
    <t>PARENT386</t>
  </si>
  <si>
    <t>PARENT387</t>
  </si>
  <si>
    <t>PARENT388</t>
  </si>
  <si>
    <t>PARENT389</t>
  </si>
  <si>
    <t>PARENT390</t>
  </si>
  <si>
    <t>PARENT391</t>
  </si>
  <si>
    <t>PARENT392</t>
  </si>
  <si>
    <t>PARENT393</t>
  </si>
  <si>
    <t>PARENT394</t>
  </si>
  <si>
    <t>PARENT395</t>
  </si>
  <si>
    <t>PARENT396</t>
  </si>
  <si>
    <t>PARENT397</t>
  </si>
  <si>
    <t>PARENT398</t>
  </si>
  <si>
    <t>PARENT399</t>
  </si>
  <si>
    <t>PARENT400</t>
  </si>
  <si>
    <t>PARENT401</t>
  </si>
  <si>
    <t>PARENT402</t>
  </si>
  <si>
    <t>PARENT403</t>
  </si>
  <si>
    <t>PARENT404</t>
  </si>
  <si>
    <t>PARENT405</t>
  </si>
  <si>
    <t>PARENT406</t>
  </si>
  <si>
    <t>PARENT407</t>
  </si>
  <si>
    <t>PARENT408</t>
  </si>
  <si>
    <t>PARENT409</t>
  </si>
  <si>
    <t>PARENT410</t>
  </si>
  <si>
    <t>PARENT411</t>
  </si>
  <si>
    <t>PARENT412</t>
  </si>
  <si>
    <t>PARENT413</t>
  </si>
  <si>
    <t>PARENT414</t>
  </si>
  <si>
    <t>PARENT415</t>
  </si>
  <si>
    <t>PARENT416</t>
  </si>
  <si>
    <t>PARENT417</t>
  </si>
  <si>
    <t>PARENT418</t>
  </si>
  <si>
    <t>PARENT419</t>
  </si>
  <si>
    <t>PARENT420</t>
  </si>
  <si>
    <t>PARENT421</t>
  </si>
  <si>
    <t>PARENT422</t>
  </si>
  <si>
    <t>PARENT423</t>
  </si>
  <si>
    <t>PARENT424</t>
  </si>
  <si>
    <t>PARENT425</t>
  </si>
  <si>
    <t>PARENT426</t>
  </si>
  <si>
    <t>PARENT427</t>
  </si>
  <si>
    <t>PARENT428</t>
  </si>
  <si>
    <t>PARENT429</t>
  </si>
  <si>
    <t>PARENT430</t>
  </si>
  <si>
    <t>PARENT431</t>
  </si>
  <si>
    <t>PARENT432</t>
  </si>
  <si>
    <t>PARENT433</t>
  </si>
  <si>
    <t>PARENT434</t>
  </si>
  <si>
    <t>PARENT435</t>
  </si>
  <si>
    <t>PARENT436</t>
  </si>
  <si>
    <t>PARENT437</t>
  </si>
  <si>
    <t>PARENT438</t>
  </si>
  <si>
    <t>PARENT439</t>
  </si>
  <si>
    <t>PARENT440</t>
  </si>
  <si>
    <t>PARENT441</t>
  </si>
  <si>
    <t>PARENT442</t>
  </si>
  <si>
    <t>PARENT443</t>
  </si>
  <si>
    <t>PARENT444</t>
  </si>
  <si>
    <t>PARENT445</t>
  </si>
  <si>
    <t>PARENT446</t>
  </si>
  <si>
    <t>PARENT447</t>
  </si>
  <si>
    <t>PARENT448</t>
  </si>
  <si>
    <t>PARENT449</t>
  </si>
  <si>
    <t>PARENT450</t>
  </si>
  <si>
    <t>PARENT451</t>
  </si>
  <si>
    <t>PARENT452</t>
  </si>
  <si>
    <t>PARENT453</t>
  </si>
  <si>
    <t>PARENT454</t>
  </si>
  <si>
    <t>PARENT455</t>
  </si>
  <si>
    <t>PARENT456</t>
  </si>
  <si>
    <t>PARENT457</t>
  </si>
  <si>
    <t>PARENT458</t>
  </si>
  <si>
    <t>PARENT459</t>
  </si>
  <si>
    <t>PARENT460</t>
  </si>
  <si>
    <t>Desc</t>
  </si>
  <si>
    <r>
      <rPr>
        <b/>
        <sz val="11"/>
        <color theme="1"/>
        <rFont val="Calibri"/>
        <family val="2"/>
      </rPr>
      <t>Q6b.</t>
    </r>
    <r>
      <rPr>
        <sz val="11"/>
        <color theme="1"/>
        <rFont val="Calibri"/>
        <family val="2"/>
        <scheme val="minor"/>
      </rPr>
      <t xml:space="preserve"> Please refer to the below  Set1 and Set2 Tables to answer the following questions using excel formulas:</t>
    </r>
  </si>
  <si>
    <t>In the table below, under column "Count", give a dynamic formula to determine the number of times the region is repeated in the data</t>
  </si>
  <si>
    <t>In the table below, under column "Total FTE", give a dynamic formula to determine the total number of FTE by Region</t>
  </si>
  <si>
    <r>
      <rPr>
        <b/>
        <sz val="11"/>
        <color theme="1"/>
        <rFont val="Calibri"/>
        <family val="2"/>
      </rPr>
      <t>a.</t>
    </r>
    <r>
      <rPr>
        <sz val="11"/>
        <color theme="1"/>
        <rFont val="Calibri"/>
        <family val="2"/>
        <scheme val="minor"/>
      </rPr>
      <t xml:space="preserve"> Update the Desc Field under Set1 using the ID given in Set2 with help of excel VLOOKUP formulas.  Make sure ID format is unchanged in SET1 and SET2</t>
    </r>
  </si>
  <si>
    <t>Roll Number</t>
  </si>
  <si>
    <t>Course Enrolled</t>
  </si>
  <si>
    <t>Cloud Security</t>
  </si>
  <si>
    <t>Web security</t>
  </si>
  <si>
    <t>Cryptography</t>
  </si>
  <si>
    <t>Computer Fundamental</t>
  </si>
  <si>
    <t>Python</t>
  </si>
  <si>
    <t>Course Enrolled 1</t>
  </si>
  <si>
    <t>Course Enrolled 2</t>
  </si>
  <si>
    <t>Course Enrolled 3</t>
  </si>
  <si>
    <t>Course Enrolled 4</t>
  </si>
  <si>
    <t>Course Enrolled 5</t>
  </si>
  <si>
    <t>Desired Output using Dynamic Formulae</t>
  </si>
  <si>
    <t>Result Table</t>
  </si>
  <si>
    <t>Personnel Subarea</t>
  </si>
  <si>
    <t>Company_Code_Desc</t>
  </si>
  <si>
    <t>Primary_Industry_Desc</t>
  </si>
  <si>
    <t>Employee ID</t>
  </si>
  <si>
    <t>Business</t>
  </si>
  <si>
    <t>Operating Region</t>
  </si>
  <si>
    <t>Business Unit</t>
  </si>
  <si>
    <t>Cost Center</t>
  </si>
  <si>
    <t>Company Code</t>
  </si>
  <si>
    <t>ABC</t>
  </si>
  <si>
    <t>DEF</t>
  </si>
  <si>
    <t>GHI</t>
  </si>
  <si>
    <t>JKL</t>
  </si>
  <si>
    <t>Hire Date</t>
  </si>
  <si>
    <t>Hire Sequence</t>
  </si>
  <si>
    <t>One employee has multiple Hire Date and Hire Sequence in the table in S-1 Sheet. Bring all hire date and hire sequence from S-1 Sheet table using single dynamic formulae.</t>
  </si>
  <si>
    <t>Question-1</t>
  </si>
  <si>
    <t>Map the most recent hire date from S-1 Sheet table</t>
  </si>
  <si>
    <t>Question-2</t>
  </si>
  <si>
    <t>MNO</t>
  </si>
  <si>
    <t>PQR</t>
  </si>
  <si>
    <t>STU</t>
  </si>
  <si>
    <t>Use single dynamic formulae to bring the values in respective fields using U-1 Sheet table. The fields in below table is in same sequence as table in U-1 Sheet</t>
  </si>
  <si>
    <t>Use single dynamic formulae to bring the values in respective fields using U-1 Sheet table. The fields in below table is in different sequence than table in U-1 Sheet. Don't rearrange the fields in below table.</t>
  </si>
  <si>
    <t>"Course Enrolled Table"</t>
  </si>
  <si>
    <t>Using the "Course enrolled table" below, derive the desired output using dynamic formulae in Result Table.</t>
  </si>
  <si>
    <t>&lt;Goto S-2 sheet to understand the question&gt;</t>
  </si>
  <si>
    <t>&lt;Goto U-2 sheet to understand the question&gt;</t>
  </si>
  <si>
    <t>Charge Description</t>
  </si>
  <si>
    <t>Charge Rate</t>
  </si>
  <si>
    <t>AM</t>
  </si>
  <si>
    <t>PM</t>
  </si>
  <si>
    <t>FM</t>
  </si>
  <si>
    <t>CM</t>
  </si>
  <si>
    <t>RM</t>
  </si>
  <si>
    <t>CXO</t>
  </si>
  <si>
    <t>Charge rate</t>
  </si>
  <si>
    <t>Charge Code</t>
  </si>
  <si>
    <t>First Part AM xxxx9132</t>
  </si>
  <si>
    <t>First Part AM xxxxx6719</t>
  </si>
  <si>
    <t>First Part AM xxx2124</t>
  </si>
  <si>
    <t>First Part CM xxxxx4671</t>
  </si>
  <si>
    <t>First Part RM xxxx8382</t>
  </si>
  <si>
    <t>First Part PM xxxxxx8054</t>
  </si>
  <si>
    <t>First Part RM xxx4545</t>
  </si>
  <si>
    <t>First Part RM xxxxxx7317</t>
  </si>
  <si>
    <t>Second Part RM xxx7837</t>
  </si>
  <si>
    <t>Second Part PM xxx9637</t>
  </si>
  <si>
    <t>Second Part CXO xxxx1293</t>
  </si>
  <si>
    <t>Third Part FM xxx1817</t>
  </si>
  <si>
    <t>Third Part FM xxxx3012</t>
  </si>
  <si>
    <t>Third Part FM xxxxx1386</t>
  </si>
  <si>
    <t>Fourth Part CM xxxx4607</t>
  </si>
  <si>
    <t>Fourth Part AM xxxx6096</t>
  </si>
  <si>
    <t>Fourth Part AM xxx5155</t>
  </si>
  <si>
    <t>Fourth Part CM xxxx9363</t>
  </si>
  <si>
    <t>Fourth Part PM xxxx1759</t>
  </si>
  <si>
    <t>Fifth Part RM xxxxxx6378</t>
  </si>
  <si>
    <t>Fifth Part RM xxxxxx3863</t>
  </si>
  <si>
    <t>Sixth Part CXO xxxx5633</t>
  </si>
  <si>
    <t>Sixth Part PM xxxxx5502</t>
  </si>
  <si>
    <t>Sixth Part PM xxxx8157</t>
  </si>
  <si>
    <t>Sixth Part RM xxxxxx8637</t>
  </si>
  <si>
    <t>Look up table</t>
  </si>
  <si>
    <t>Table 1</t>
  </si>
  <si>
    <r>
      <t xml:space="preserve">2. Using Conditional formatting </t>
    </r>
    <r>
      <rPr>
        <b/>
        <sz val="11"/>
        <rFont val="Calibri"/>
        <family val="2"/>
        <scheme val="minor"/>
      </rPr>
      <t>Bold</t>
    </r>
    <r>
      <rPr>
        <sz val="11"/>
        <rFont val="Calibri"/>
        <family val="2"/>
        <scheme val="minor"/>
      </rPr>
      <t xml:space="preserve"> the words in this list that are longer than 8 letters long</t>
    </r>
  </si>
  <si>
    <t>Kothktl US - Hyderabad) &lt;skpani@abc.com&gt;</t>
  </si>
  <si>
    <t>Mylavathik US - Hyderabad) &lt;kmpu@abc.com&gt;</t>
  </si>
  <si>
    <t>Koopala US - Hyderabad) &lt;gur@abc.com&gt;</t>
  </si>
  <si>
    <t>Kodakshmi US - Hyderabad) &lt;skoli@abc.com&gt;</t>
  </si>
  <si>
    <t>Kaleseph US - Hyderabad) &lt;jkgi@abc.com&gt;</t>
  </si>
  <si>
    <t>Krorikanth US - Hyderabad) &lt;skidi@abc.com&gt;</t>
  </si>
  <si>
    <t>uri sekhara Reddy US - Hyderabad) &lt;rri@abc.com&gt;</t>
  </si>
  <si>
    <t>havanndhya US - Hyderabad) &lt;saan@abc.com&gt;</t>
  </si>
  <si>
    <t>Area</t>
  </si>
  <si>
    <t>Values</t>
  </si>
  <si>
    <t>Row Labels</t>
  </si>
  <si>
    <t>Andrews</t>
  </si>
  <si>
    <t>Binder</t>
  </si>
  <si>
    <t>Desk</t>
  </si>
  <si>
    <t>Pen</t>
  </si>
  <si>
    <t>Pen Set</t>
  </si>
  <si>
    <t>Pencil</t>
  </si>
  <si>
    <t>Gill</t>
  </si>
  <si>
    <t>Howard</t>
  </si>
  <si>
    <t>Jardine</t>
  </si>
  <si>
    <t>Parent</t>
  </si>
  <si>
    <t>Sorvino</t>
  </si>
  <si>
    <t>RepBonus</t>
  </si>
  <si>
    <t>Bonus</t>
  </si>
  <si>
    <t>=Total * 3%</t>
  </si>
  <si>
    <t>=IF(Units&gt;100,Total*3%,0)</t>
  </si>
  <si>
    <t>Create Calculated Fields</t>
  </si>
  <si>
    <t>In the below table - use excel formulaes to determine:</t>
  </si>
  <si>
    <t>From the below table of an Individuals Score - Please use an excel formula to calculate the total scores in the 'TOTAL SCORE' box without changing the scores format</t>
  </si>
  <si>
    <t xml:space="preserve"> Below are the marks scored by 7 students. 150 is the total score they are required to achieve. Please use excel formuales to derive answers to the below question:</t>
  </si>
  <si>
    <t>Below listed table contains Salaries of few employees based on their current and prior salaries. Please use excel formuales to derive answers to the below questions:</t>
  </si>
  <si>
    <t>Please refer to the below table to answer the following questions using excel formulas:</t>
  </si>
  <si>
    <t>Create a Pivot using the below table to determine Each Groups total projects and total incomplete projects as per their GROUP</t>
  </si>
  <si>
    <t>Using the below table - please create an appropriate graph to represent the score vs. Max Score</t>
  </si>
  <si>
    <t>Create a dependent list in Cell C8 with reference to B8 to reflect the relevant states of the country selected</t>
  </si>
  <si>
    <t>Arrange the below data in such a way that 'Employee ID' is appearing smallest to greatest with their greatest 'Hire Date' and 'Hire Sequence' in Result Table below.</t>
  </si>
  <si>
    <t>Result table:</t>
  </si>
  <si>
    <t>Sixth Part CXO xxxxx2823</t>
  </si>
  <si>
    <t>Sixth Part CXO xxxx2450</t>
  </si>
  <si>
    <t>Sixth Part AM xxx5299</t>
  </si>
  <si>
    <t>Sixth Part CM xxxx2104</t>
  </si>
  <si>
    <t>Sixth Part PM xxxxxx9699</t>
  </si>
  <si>
    <t>Date</t>
  </si>
  <si>
    <t>Rep</t>
  </si>
  <si>
    <t>Order Status</t>
  </si>
  <si>
    <t>Product</t>
  </si>
  <si>
    <t>Cost</t>
  </si>
  <si>
    <t>Units</t>
  </si>
  <si>
    <t>Shipped</t>
  </si>
  <si>
    <t>Backorder</t>
  </si>
  <si>
    <t>Canceled</t>
  </si>
  <si>
    <t>Pending</t>
  </si>
  <si>
    <t>Sum of Total</t>
  </si>
  <si>
    <t>Sum of Units</t>
  </si>
  <si>
    <t xml:space="preserve">Each Charge description in "Table 1" below contains a "Charge Code" somewhere inside it. </t>
  </si>
  <si>
    <t>You need to retrieve charge rate for each charge description by looking up with Charge Code mentioned in it.  Use "Look up table" below to retreive charge rate.</t>
  </si>
  <si>
    <t>Sum of Projects</t>
  </si>
  <si>
    <t>Sum of Completed</t>
  </si>
  <si>
    <t>incomplete</t>
  </si>
  <si>
    <t>Sum of incomplete</t>
  </si>
  <si>
    <t>Sum of Max. Score</t>
  </si>
  <si>
    <t>Sum of Score</t>
  </si>
  <si>
    <t>Sum of Pure Utilization</t>
  </si>
  <si>
    <t>Sum of PTO</t>
  </si>
  <si>
    <t>Sum of Holiday</t>
  </si>
  <si>
    <t>Sum of Availability</t>
  </si>
  <si>
    <t>Sum of Repbonus</t>
  </si>
  <si>
    <t>Sum of Bonus</t>
  </si>
  <si>
    <t>Kothktl US - Hyderabad</t>
  </si>
  <si>
    <t xml:space="preserve"> &lt;skpani@abc.com&gt;</t>
  </si>
  <si>
    <t>Mylavathik US - Hyderabad</t>
  </si>
  <si>
    <t xml:space="preserve"> &lt;kmpu@abc.com&gt;</t>
  </si>
  <si>
    <t>Koopala US - Hyderabad</t>
  </si>
  <si>
    <t xml:space="preserve"> &lt;gur@abc.com&gt;</t>
  </si>
  <si>
    <t>Kodakshmi US - Hyderabad</t>
  </si>
  <si>
    <t xml:space="preserve"> &lt;skoli@abc.com&gt;</t>
  </si>
  <si>
    <t>Kaleseph US - Hyderabad</t>
  </si>
  <si>
    <t xml:space="preserve"> &lt;jkgi@abc.com&gt;</t>
  </si>
  <si>
    <t>Krorikanth US - Hyderabad</t>
  </si>
  <si>
    <t xml:space="preserve"> &lt;skidi@abc.com&gt;</t>
  </si>
  <si>
    <t>uri sekhara Reddy US - Hyderabad</t>
  </si>
  <si>
    <t xml:space="preserve"> &lt;rri@abc.com&gt;</t>
  </si>
  <si>
    <t>havanndhya US - Hyderabad</t>
  </si>
  <si>
    <t xml:space="preserve"> &lt;saan@abc.com&gt;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</si>
</sst>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&quot;$&quot;#,##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Calibri"/>
      <family val="2"/>
    </font>
    <font>
      <b/>
      <sz val="1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rgb="FF002060"/>
      <name val="Arial"/>
      <family val="2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8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0"/>
      <name val="Gill Sans MT"/>
      <family val="2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3" tint="-0.249977111117893"/>
        <bgColor indexed="9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CE6F1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12" fillId="0" borderId="0"/>
    <xf numFmtId="9" fontId="1" fillId="0" borderId="0" applyFont="0" applyFill="0" applyBorder="0" applyAlignment="0" applyProtection="0"/>
  </cellStyleXfs>
  <cellXfs count="97">
    <xf numFmtId="0" fontId="0" fillId="0" borderId="0" xfId="0"/>
    <xf numFmtId="0" fontId="0" fillId="0" borderId="1" xfId="0" applyBorder="1"/>
    <xf numFmtId="0" fontId="4" fillId="2" borderId="1" xfId="0" applyFont="1" applyFill="1" applyBorder="1"/>
    <xf numFmtId="0" fontId="2" fillId="2" borderId="1" xfId="0" applyFont="1" applyFill="1" applyBorder="1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0" xfId="2" applyAlignment="1" applyProtection="1"/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2" fontId="2" fillId="2" borderId="1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 vertical="top" wrapText="1"/>
    </xf>
    <xf numFmtId="4" fontId="0" fillId="0" borderId="1" xfId="0" applyNumberFormat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vertical="top" wrapText="1"/>
    </xf>
    <xf numFmtId="0" fontId="7" fillId="0" borderId="1" xfId="0" applyFont="1" applyBorder="1" applyAlignment="1">
      <alignment horizontal="center"/>
    </xf>
    <xf numFmtId="166" fontId="0" fillId="0" borderId="1" xfId="1" applyNumberFormat="1" applyFont="1" applyBorder="1"/>
    <xf numFmtId="166" fontId="0" fillId="0" borderId="1" xfId="1" applyNumberFormat="1" applyFont="1" applyFill="1" applyBorder="1" applyAlignment="1">
      <alignment horizontal="center"/>
    </xf>
    <xf numFmtId="166" fontId="0" fillId="0" borderId="1" xfId="1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7" fillId="0" borderId="0" xfId="0" applyFont="1"/>
    <xf numFmtId="0" fontId="3" fillId="4" borderId="1" xfId="0" applyFont="1" applyFill="1" applyBorder="1" applyAlignment="1">
      <alignment horizontal="left"/>
    </xf>
    <xf numFmtId="2" fontId="0" fillId="0" borderId="1" xfId="0" applyNumberFormat="1" applyBorder="1" applyAlignment="1">
      <alignment horizontal="center"/>
    </xf>
    <xf numFmtId="0" fontId="3" fillId="0" borderId="0" xfId="0" applyFont="1"/>
    <xf numFmtId="0" fontId="3" fillId="0" borderId="1" xfId="0" applyFont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1" xfId="0" applyNumberForma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2" fillId="0" borderId="0" xfId="3"/>
    <xf numFmtId="0" fontId="0" fillId="0" borderId="3" xfId="0" applyBorder="1" applyAlignment="1">
      <alignment horizontal="center"/>
    </xf>
    <xf numFmtId="0" fontId="13" fillId="0" borderId="0" xfId="0" applyFont="1"/>
    <xf numFmtId="0" fontId="0" fillId="0" borderId="1" xfId="0" applyBorder="1" applyAlignment="1">
      <alignment vertical="top"/>
    </xf>
    <xf numFmtId="0" fontId="12" fillId="0" borderId="0" xfId="3" applyAlignment="1">
      <alignment horizontal="center"/>
    </xf>
    <xf numFmtId="0" fontId="12" fillId="0" borderId="1" xfId="3" applyBorder="1"/>
    <xf numFmtId="0" fontId="8" fillId="7" borderId="1" xfId="3" applyFont="1" applyFill="1" applyBorder="1" applyAlignment="1">
      <alignment horizontal="center"/>
    </xf>
    <xf numFmtId="0" fontId="8" fillId="7" borderId="1" xfId="3" applyFont="1" applyFill="1" applyBorder="1"/>
    <xf numFmtId="0" fontId="12" fillId="0" borderId="1" xfId="3" applyBorder="1" applyAlignment="1">
      <alignment horizontal="center"/>
    </xf>
    <xf numFmtId="14" fontId="12" fillId="0" borderId="0" xfId="3" applyNumberFormat="1"/>
    <xf numFmtId="0" fontId="15" fillId="7" borderId="1" xfId="3" applyFont="1" applyFill="1" applyBorder="1"/>
    <xf numFmtId="14" fontId="12" fillId="0" borderId="1" xfId="3" applyNumberFormat="1" applyBorder="1"/>
    <xf numFmtId="0" fontId="15" fillId="0" borderId="0" xfId="3" applyFont="1"/>
    <xf numFmtId="0" fontId="17" fillId="9" borderId="4" xfId="0" applyFont="1" applyFill="1" applyBorder="1"/>
    <xf numFmtId="0" fontId="17" fillId="9" borderId="4" xfId="0" applyFont="1" applyFill="1" applyBorder="1" applyAlignment="1">
      <alignment horizontal="center"/>
    </xf>
    <xf numFmtId="0" fontId="18" fillId="0" borderId="4" xfId="0" applyFont="1" applyBorder="1"/>
    <xf numFmtId="0" fontId="18" fillId="0" borderId="4" xfId="0" applyFont="1" applyBorder="1" applyAlignment="1">
      <alignment horizontal="center"/>
    </xf>
    <xf numFmtId="0" fontId="17" fillId="9" borderId="5" xfId="0" applyFont="1" applyFill="1" applyBorder="1" applyAlignment="1">
      <alignment horizontal="center"/>
    </xf>
    <xf numFmtId="0" fontId="18" fillId="10" borderId="5" xfId="0" applyFont="1" applyFill="1" applyBorder="1"/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15" fillId="2" borderId="1" xfId="3" applyFont="1" applyFill="1" applyBorder="1"/>
    <xf numFmtId="0" fontId="2" fillId="2" borderId="0" xfId="0" applyFont="1" applyFill="1"/>
    <xf numFmtId="0" fontId="20" fillId="0" borderId="0" xfId="2" applyFont="1" applyAlignment="1" applyProtection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2" fillId="5" borderId="1" xfId="0" applyFont="1" applyFill="1" applyBorder="1" applyAlignment="1">
      <alignment horizontal="left"/>
    </xf>
    <xf numFmtId="9" fontId="0" fillId="0" borderId="1" xfId="4" applyFont="1" applyBorder="1" applyAlignment="1">
      <alignment horizontal="center"/>
    </xf>
    <xf numFmtId="0" fontId="11" fillId="0" borderId="0" xfId="0" applyFont="1"/>
    <xf numFmtId="0" fontId="0" fillId="6" borderId="0" xfId="0" applyFill="1"/>
    <xf numFmtId="0" fontId="14" fillId="0" borderId="0" xfId="3" applyFont="1"/>
    <xf numFmtId="0" fontId="2" fillId="2" borderId="1" xfId="3" applyFont="1" applyFill="1" applyBorder="1" applyAlignment="1">
      <alignment horizontal="center"/>
    </xf>
    <xf numFmtId="0" fontId="14" fillId="0" borderId="1" xfId="3" applyFont="1" applyBorder="1"/>
    <xf numFmtId="0" fontId="0" fillId="0" borderId="0" xfId="0" pivotButton="1"/>
    <xf numFmtId="0" fontId="0" fillId="0" borderId="0" xfId="0" applyAlignment="1">
      <alignment horizontal="left" indent="1"/>
    </xf>
    <xf numFmtId="0" fontId="3" fillId="0" borderId="0" xfId="0" applyFont="1" applyAlignment="1">
      <alignment wrapText="1"/>
    </xf>
    <xf numFmtId="0" fontId="0" fillId="0" borderId="0" xfId="0" quotePrefix="1"/>
    <xf numFmtId="0" fontId="2" fillId="12" borderId="0" xfId="0" applyFont="1" applyFill="1"/>
    <xf numFmtId="0" fontId="2" fillId="12" borderId="6" xfId="0" applyFont="1" applyFill="1" applyBorder="1"/>
    <xf numFmtId="14" fontId="0" fillId="11" borderId="7" xfId="0" applyNumberFormat="1" applyFill="1" applyBorder="1"/>
    <xf numFmtId="0" fontId="0" fillId="11" borderId="8" xfId="0" applyFill="1" applyBorder="1"/>
    <xf numFmtId="14" fontId="0" fillId="4" borderId="9" xfId="0" applyNumberFormat="1" applyFill="1" applyBorder="1"/>
    <xf numFmtId="0" fontId="0" fillId="4" borderId="10" xfId="0" applyFill="1" applyBorder="1"/>
    <xf numFmtId="14" fontId="0" fillId="11" borderId="9" xfId="0" applyNumberFormat="1" applyFill="1" applyBorder="1"/>
    <xf numFmtId="0" fontId="0" fillId="11" borderId="10" xfId="0" applyFill="1" applyBorder="1"/>
    <xf numFmtId="4" fontId="6" fillId="0" borderId="1" xfId="2" applyNumberFormat="1" applyBorder="1" applyAlignment="1" applyProtection="1">
      <alignment horizontal="center"/>
    </xf>
    <xf numFmtId="0" fontId="10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7" fillId="0" borderId="1" xfId="0" applyFont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8" fillId="2" borderId="1" xfId="3" applyFont="1" applyFill="1" applyBorder="1" applyAlignment="1">
      <alignment horizontal="center"/>
    </xf>
    <xf numFmtId="0" fontId="8" fillId="2" borderId="0" xfId="3" applyFont="1" applyFill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1" xfId="0" applyNumberFormat="1" applyBorder="1" applyAlignment="1">
      <alignment horizontal="center"/>
    </xf>
    <xf numFmtId="1" fontId="0" fillId="0" borderId="0" xfId="4" applyNumberFormat="1" applyFont="1"/>
    <xf numFmtId="0" fontId="0" fillId="0" borderId="0" xfId="0" applyNumberFormat="1"/>
    <xf numFmtId="0" fontId="15" fillId="2" borderId="0" xfId="3" applyFont="1" applyFill="1" applyBorder="1"/>
    <xf numFmtId="0" fontId="0" fillId="0" borderId="0" xfId="0" applyNumberFormat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3" xr:uid="{00000000-0005-0000-0000-000003000000}"/>
    <cellStyle name="Percent" xfId="4" builtinId="5"/>
  </cellStyles>
  <dxfs count="3">
    <dxf>
      <font>
        <b/>
        <i val="0"/>
      </font>
    </dxf>
    <dxf>
      <fill>
        <patternFill>
          <bgColor theme="6" tint="-0.24994659260841701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[Hand-on- Excel.xlsm]J!PivotTable6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J!$H$8</c:f>
              <c:strCache>
                <c:ptCount val="1"/>
                <c:pt idx="0">
                  <c:v>Sum of Score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J!$G$9:$G$15</c:f>
              <c:strCache>
                <c:ptCount val="6"/>
                <c:pt idx="0">
                  <c:v>Business Ethics</c:v>
                </c:pt>
                <c:pt idx="1">
                  <c:v>Cost Accounting</c:v>
                </c:pt>
                <c:pt idx="2">
                  <c:v>Finance</c:v>
                </c:pt>
                <c:pt idx="3">
                  <c:v>Quality</c:v>
                </c:pt>
                <c:pt idx="4">
                  <c:v>Risk Analysis</c:v>
                </c:pt>
                <c:pt idx="5">
                  <c:v>Technical </c:v>
                </c:pt>
              </c:strCache>
            </c:strRef>
          </c:cat>
          <c:val>
            <c:numRef>
              <c:f>J!$H$9:$H$15</c:f>
              <c:numCache>
                <c:formatCode>General</c:formatCode>
                <c:ptCount val="6"/>
                <c:pt idx="0">
                  <c:v>225</c:v>
                </c:pt>
                <c:pt idx="1">
                  <c:v>250</c:v>
                </c:pt>
                <c:pt idx="2">
                  <c:v>200</c:v>
                </c:pt>
                <c:pt idx="3">
                  <c:v>300</c:v>
                </c:pt>
                <c:pt idx="4">
                  <c:v>250</c:v>
                </c:pt>
                <c:pt idx="5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1-4E89-BA2B-2D008BCD4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0403504"/>
        <c:axId val="150406864"/>
      </c:barChart>
      <c:lineChart>
        <c:grouping val="standard"/>
        <c:varyColors val="0"/>
        <c:ser>
          <c:idx val="1"/>
          <c:order val="1"/>
          <c:tx>
            <c:strRef>
              <c:f>J!$I$8</c:f>
              <c:strCache>
                <c:ptCount val="1"/>
                <c:pt idx="0">
                  <c:v>Sum of Max. Score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J!$G$9:$G$15</c:f>
              <c:strCache>
                <c:ptCount val="6"/>
                <c:pt idx="0">
                  <c:v>Business Ethics</c:v>
                </c:pt>
                <c:pt idx="1">
                  <c:v>Cost Accounting</c:v>
                </c:pt>
                <c:pt idx="2">
                  <c:v>Finance</c:v>
                </c:pt>
                <c:pt idx="3">
                  <c:v>Quality</c:v>
                </c:pt>
                <c:pt idx="4">
                  <c:v>Risk Analysis</c:v>
                </c:pt>
                <c:pt idx="5">
                  <c:v>Technical </c:v>
                </c:pt>
              </c:strCache>
            </c:strRef>
          </c:cat>
          <c:val>
            <c:numRef>
              <c:f>J!$I$9:$I$15</c:f>
              <c:numCache>
                <c:formatCode>General</c:formatCode>
                <c:ptCount val="6"/>
                <c:pt idx="0">
                  <c:v>350</c:v>
                </c:pt>
                <c:pt idx="1">
                  <c:v>350</c:v>
                </c:pt>
                <c:pt idx="2">
                  <c:v>350</c:v>
                </c:pt>
                <c:pt idx="3">
                  <c:v>350</c:v>
                </c:pt>
                <c:pt idx="4">
                  <c:v>350</c:v>
                </c:pt>
                <c:pt idx="5">
                  <c:v>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A1-4E89-BA2B-2D008BCD4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5619312"/>
        <c:axId val="1045625072"/>
      </c:lineChart>
      <c:catAx>
        <c:axId val="15040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06864"/>
        <c:crosses val="autoZero"/>
        <c:auto val="1"/>
        <c:lblAlgn val="ctr"/>
        <c:lblOffset val="100"/>
        <c:noMultiLvlLbl val="0"/>
      </c:catAx>
      <c:valAx>
        <c:axId val="15040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03504"/>
        <c:crosses val="autoZero"/>
        <c:crossBetween val="between"/>
      </c:valAx>
      <c:valAx>
        <c:axId val="10456250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5619312"/>
        <c:crosses val="max"/>
        <c:crossBetween val="between"/>
      </c:valAx>
      <c:catAx>
        <c:axId val="1045619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562507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[Hand-on- Excel.xlsm]M!PivotTable7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glow>
              <a:schemeClr val="accent1"/>
            </a:glow>
            <a:softEdge rad="0"/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M!$J$17</c:f>
              <c:strCache>
                <c:ptCount val="1"/>
                <c:pt idx="0">
                  <c:v>Sum of Pure Utilization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glow>
                <a:schemeClr val="accent1"/>
              </a:glow>
              <a:softEdge rad="0"/>
            </a:effectLst>
          </c:spPr>
          <c:invertIfNegative val="0"/>
          <c:cat>
            <c:strRef>
              <c:f>M!$I$18:$I$24</c:f>
              <c:strCache>
                <c:ptCount val="6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</c:strCache>
            </c:strRef>
          </c:cat>
          <c:val>
            <c:numRef>
              <c:f>M!$J$18:$J$24</c:f>
              <c:numCache>
                <c:formatCode>General</c:formatCode>
                <c:ptCount val="6"/>
                <c:pt idx="0">
                  <c:v>0.82</c:v>
                </c:pt>
                <c:pt idx="1">
                  <c:v>0.67999999999999994</c:v>
                </c:pt>
                <c:pt idx="2">
                  <c:v>0.53999999999999992</c:v>
                </c:pt>
                <c:pt idx="3">
                  <c:v>0.66</c:v>
                </c:pt>
                <c:pt idx="4">
                  <c:v>0.78</c:v>
                </c:pt>
                <c:pt idx="5">
                  <c:v>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818-4DDE-AE35-1525F8E4BF9E}"/>
            </c:ext>
          </c:extLst>
        </c:ser>
        <c:ser>
          <c:idx val="1"/>
          <c:order val="1"/>
          <c:tx>
            <c:strRef>
              <c:f>M!$K$17</c:f>
              <c:strCache>
                <c:ptCount val="1"/>
                <c:pt idx="0">
                  <c:v>Sum of PTO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M!$I$18:$I$24</c:f>
              <c:strCache>
                <c:ptCount val="6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</c:strCache>
            </c:strRef>
          </c:cat>
          <c:val>
            <c:numRef>
              <c:f>M!$K$18:$K$24</c:f>
              <c:numCache>
                <c:formatCode>General</c:formatCode>
                <c:ptCount val="6"/>
                <c:pt idx="0">
                  <c:v>0.08</c:v>
                </c:pt>
                <c:pt idx="1">
                  <c:v>0.02</c:v>
                </c:pt>
                <c:pt idx="2">
                  <c:v>0.06</c:v>
                </c:pt>
                <c:pt idx="3">
                  <c:v>0.08</c:v>
                </c:pt>
                <c:pt idx="4">
                  <c:v>0.09</c:v>
                </c:pt>
                <c:pt idx="5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818-4DDE-AE35-1525F8E4BF9E}"/>
            </c:ext>
          </c:extLst>
        </c:ser>
        <c:ser>
          <c:idx val="2"/>
          <c:order val="2"/>
          <c:tx>
            <c:strRef>
              <c:f>M!$L$17</c:f>
              <c:strCache>
                <c:ptCount val="1"/>
                <c:pt idx="0">
                  <c:v>Sum of Holiday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M!$I$18:$I$24</c:f>
              <c:strCache>
                <c:ptCount val="6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</c:strCache>
            </c:strRef>
          </c:cat>
          <c:val>
            <c:numRef>
              <c:f>M!$L$18:$L$24</c:f>
              <c:numCache>
                <c:formatCode>General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818-4DDE-AE35-1525F8E4B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45633712"/>
        <c:axId val="1045629872"/>
      </c:barChart>
      <c:lineChart>
        <c:grouping val="standard"/>
        <c:varyColors val="0"/>
        <c:ser>
          <c:idx val="3"/>
          <c:order val="3"/>
          <c:tx>
            <c:strRef>
              <c:f>M!$M$17</c:f>
              <c:strCache>
                <c:ptCount val="1"/>
                <c:pt idx="0">
                  <c:v>Sum of Availability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M!$I$18:$I$24</c:f>
              <c:strCache>
                <c:ptCount val="6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</c:strCache>
            </c:strRef>
          </c:cat>
          <c:val>
            <c:numRef>
              <c:f>M!$M$18:$M$24</c:f>
              <c:numCache>
                <c:formatCode>General</c:formatCode>
                <c:ptCount val="6"/>
                <c:pt idx="0">
                  <c:v>8.0000000000000071E-2</c:v>
                </c:pt>
                <c:pt idx="1">
                  <c:v>0.28000000000000003</c:v>
                </c:pt>
                <c:pt idx="2">
                  <c:v>0.38000000000000012</c:v>
                </c:pt>
                <c:pt idx="3">
                  <c:v>0.24</c:v>
                </c:pt>
                <c:pt idx="4">
                  <c:v>0.10999999999999999</c:v>
                </c:pt>
                <c:pt idx="5">
                  <c:v>2.9999999999999916E-2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818-4DDE-AE35-1525F8E4B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5633712"/>
        <c:axId val="1045629872"/>
      </c:lineChart>
      <c:catAx>
        <c:axId val="1045633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5629872"/>
        <c:crossesAt val="0"/>
        <c:auto val="1"/>
        <c:lblAlgn val="ctr"/>
        <c:lblOffset val="100"/>
        <c:noMultiLvlLbl val="0"/>
      </c:catAx>
      <c:valAx>
        <c:axId val="104562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563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solidFill>
            <a:schemeClr val="accent1">
              <a:alpha val="99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96890</xdr:rowOff>
    </xdr:from>
    <xdr:to>
      <xdr:col>9</xdr:col>
      <xdr:colOff>409575</xdr:colOff>
      <xdr:row>2</xdr:row>
      <xdr:rowOff>124953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287390"/>
          <a:ext cx="10163175" cy="218563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</xdr:row>
      <xdr:rowOff>106415</xdr:rowOff>
    </xdr:from>
    <xdr:to>
      <xdr:col>13</xdr:col>
      <xdr:colOff>381000</xdr:colOff>
      <xdr:row>2</xdr:row>
      <xdr:rowOff>134478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296915"/>
          <a:ext cx="10163175" cy="218563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</xdr:row>
      <xdr:rowOff>115940</xdr:rowOff>
    </xdr:from>
    <xdr:to>
      <xdr:col>16</xdr:col>
      <xdr:colOff>304800</xdr:colOff>
      <xdr:row>2</xdr:row>
      <xdr:rowOff>144003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298820"/>
          <a:ext cx="10170795" cy="210943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</xdr:row>
      <xdr:rowOff>115940</xdr:rowOff>
    </xdr:from>
    <xdr:to>
      <xdr:col>16</xdr:col>
      <xdr:colOff>514350</xdr:colOff>
      <xdr:row>2</xdr:row>
      <xdr:rowOff>144003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306440"/>
          <a:ext cx="10163175" cy="218563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154040</xdr:rowOff>
    </xdr:from>
    <xdr:to>
      <xdr:col>14</xdr:col>
      <xdr:colOff>276225</xdr:colOff>
      <xdr:row>2</xdr:row>
      <xdr:rowOff>182103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344540"/>
          <a:ext cx="10163175" cy="218563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154040</xdr:rowOff>
    </xdr:from>
    <xdr:to>
      <xdr:col>8</xdr:col>
      <xdr:colOff>66675</xdr:colOff>
      <xdr:row>2</xdr:row>
      <xdr:rowOff>182103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344540"/>
          <a:ext cx="10163175" cy="218563"/>
        </a:xfrm>
        <a:prstGeom prst="rect">
          <a:avLst/>
        </a:prstGeom>
        <a:noFill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</xdr:row>
      <xdr:rowOff>125465</xdr:rowOff>
    </xdr:from>
    <xdr:to>
      <xdr:col>15</xdr:col>
      <xdr:colOff>47625</xdr:colOff>
      <xdr:row>2</xdr:row>
      <xdr:rowOff>153528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315965"/>
          <a:ext cx="10163175" cy="218563"/>
        </a:xfrm>
        <a:prstGeom prst="rect">
          <a:avLst/>
        </a:prstGeom>
        <a:noFill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</xdr:row>
      <xdr:rowOff>125465</xdr:rowOff>
    </xdr:from>
    <xdr:to>
      <xdr:col>14</xdr:col>
      <xdr:colOff>641985</xdr:colOff>
      <xdr:row>2</xdr:row>
      <xdr:rowOff>153528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308345"/>
          <a:ext cx="10309860" cy="210943"/>
        </a:xfrm>
        <a:prstGeom prst="rect">
          <a:avLst/>
        </a:prstGeom>
        <a:noFill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</xdr:row>
      <xdr:rowOff>106415</xdr:rowOff>
    </xdr:from>
    <xdr:to>
      <xdr:col>10</xdr:col>
      <xdr:colOff>619125</xdr:colOff>
      <xdr:row>2</xdr:row>
      <xdr:rowOff>134478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" y="290565"/>
          <a:ext cx="10537825" cy="212213"/>
        </a:xfrm>
        <a:prstGeom prst="rect">
          <a:avLst/>
        </a:prstGeom>
        <a:noFill/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115940</xdr:rowOff>
    </xdr:from>
    <xdr:to>
      <xdr:col>13</xdr:col>
      <xdr:colOff>723900</xdr:colOff>
      <xdr:row>2</xdr:row>
      <xdr:rowOff>144003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306440"/>
          <a:ext cx="10163175" cy="218563"/>
        </a:xfrm>
        <a:prstGeom prst="rect">
          <a:avLst/>
        </a:prstGeom>
        <a:noFill/>
      </xdr:spPr>
    </xdr:pic>
    <xdr:clientData/>
  </xdr:twoCellAnchor>
  <xdr:twoCellAnchor>
    <xdr:from>
      <xdr:col>9</xdr:col>
      <xdr:colOff>0</xdr:colOff>
      <xdr:row>2</xdr:row>
      <xdr:rowOff>147637</xdr:rowOff>
    </xdr:from>
    <xdr:to>
      <xdr:col>18</xdr:col>
      <xdr:colOff>323850</xdr:colOff>
      <xdr:row>17</xdr:row>
      <xdr:rowOff>33337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59C07A7-C7E1-F8CE-4D07-6C92F35FC5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</xdr:row>
      <xdr:rowOff>125465</xdr:rowOff>
    </xdr:from>
    <xdr:to>
      <xdr:col>14</xdr:col>
      <xdr:colOff>9525</xdr:colOff>
      <xdr:row>2</xdr:row>
      <xdr:rowOff>153528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315965"/>
          <a:ext cx="10163175" cy="218563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312420</xdr:colOff>
      <xdr:row>13</xdr:row>
      <xdr:rowOff>106680</xdr:rowOff>
    </xdr:from>
    <xdr:to>
      <xdr:col>2</xdr:col>
      <xdr:colOff>400573</xdr:colOff>
      <xdr:row>19</xdr:row>
      <xdr:rowOff>99060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2420" y="2506980"/>
          <a:ext cx="1886473" cy="108966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16</xdr:row>
      <xdr:rowOff>0</xdr:rowOff>
    </xdr:from>
    <xdr:to>
      <xdr:col>7</xdr:col>
      <xdr:colOff>289549</xdr:colOff>
      <xdr:row>28</xdr:row>
      <xdr:rowOff>82550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A6E663-FA0E-4BA5-A2FD-FA95F223D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" y="2682240"/>
          <a:ext cx="4591039" cy="240411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12</xdr:col>
      <xdr:colOff>155575</xdr:colOff>
      <xdr:row>3</xdr:row>
      <xdr:rowOff>28063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ACB56A0-FC8F-41AE-A1AB-F670CE67B6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317500"/>
          <a:ext cx="10337800" cy="212213"/>
        </a:xfrm>
        <a:prstGeom prst="rect">
          <a:avLst/>
        </a:prstGeom>
        <a:noFill/>
      </xdr:spPr>
    </xdr:pic>
    <xdr:clientData/>
  </xdr:twoCellAnchor>
  <xdr:twoCellAnchor>
    <xdr:from>
      <xdr:col>7</xdr:col>
      <xdr:colOff>104775</xdr:colOff>
      <xdr:row>8</xdr:row>
      <xdr:rowOff>157162</xdr:rowOff>
    </xdr:from>
    <xdr:to>
      <xdr:col>11</xdr:col>
      <xdr:colOff>904875</xdr:colOff>
      <xdr:row>23</xdr:row>
      <xdr:rowOff>42862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EA8DE72-B994-0C30-0415-83C599318A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</xdr:colOff>
      <xdr:row>1</xdr:row>
      <xdr:rowOff>69850</xdr:rowOff>
    </xdr:from>
    <xdr:to>
      <xdr:col>13</xdr:col>
      <xdr:colOff>95250</xdr:colOff>
      <xdr:row>2</xdr:row>
      <xdr:rowOff>97913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3E37B5-CE36-4B79-B247-241F135470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700" y="254000"/>
          <a:ext cx="10337800" cy="212213"/>
        </a:xfrm>
        <a:prstGeom prst="rect">
          <a:avLst/>
        </a:prstGeom>
        <a:noFill/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82550</xdr:rowOff>
    </xdr:from>
    <xdr:to>
      <xdr:col>7</xdr:col>
      <xdr:colOff>66675</xdr:colOff>
      <xdr:row>2</xdr:row>
      <xdr:rowOff>110613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9684CB-D633-4021-AF0E-35943E0DEB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266700"/>
          <a:ext cx="10337800" cy="212213"/>
        </a:xfrm>
        <a:prstGeom prst="rect">
          <a:avLst/>
        </a:prstGeom>
        <a:noFill/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63500</xdr:rowOff>
    </xdr:from>
    <xdr:to>
      <xdr:col>8</xdr:col>
      <xdr:colOff>495300</xdr:colOff>
      <xdr:row>2</xdr:row>
      <xdr:rowOff>116963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639C02-0648-4A0C-B190-B69759D3C2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222250"/>
          <a:ext cx="10337800" cy="212213"/>
        </a:xfrm>
        <a:prstGeom prst="rect">
          <a:avLst/>
        </a:prstGeom>
        <a:noFill/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57150</xdr:rowOff>
    </xdr:from>
    <xdr:to>
      <xdr:col>10</xdr:col>
      <xdr:colOff>25400</xdr:colOff>
      <xdr:row>2</xdr:row>
      <xdr:rowOff>110613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3F1A03-A54F-42C0-B27C-309D28A9A6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215900"/>
          <a:ext cx="10337800" cy="212213"/>
        </a:xfrm>
        <a:prstGeom prst="rect">
          <a:avLst/>
        </a:prstGeom>
        <a:noFill/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</xdr:row>
      <xdr:rowOff>101600</xdr:rowOff>
    </xdr:from>
    <xdr:to>
      <xdr:col>13</xdr:col>
      <xdr:colOff>431800</xdr:colOff>
      <xdr:row>2</xdr:row>
      <xdr:rowOff>129663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7B7C723-D222-4E91-9A14-03D770F6E0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285750"/>
          <a:ext cx="10337800" cy="212213"/>
        </a:xfrm>
        <a:prstGeom prst="rect">
          <a:avLst/>
        </a:prstGeom>
        <a:noFill/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</xdr:colOff>
      <xdr:row>1</xdr:row>
      <xdr:rowOff>69850</xdr:rowOff>
    </xdr:from>
    <xdr:to>
      <xdr:col>10</xdr:col>
      <xdr:colOff>31750</xdr:colOff>
      <xdr:row>2</xdr:row>
      <xdr:rowOff>123313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812C06-6E6F-43C5-9224-364D75EBFB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50" y="228600"/>
          <a:ext cx="10337800" cy="212213"/>
        </a:xfrm>
        <a:prstGeom prst="rect">
          <a:avLst/>
        </a:prstGeom>
        <a:noFill/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</xdr:row>
      <xdr:rowOff>76200</xdr:rowOff>
    </xdr:from>
    <xdr:to>
      <xdr:col>14</xdr:col>
      <xdr:colOff>406400</xdr:colOff>
      <xdr:row>2</xdr:row>
      <xdr:rowOff>129663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DB5F1DF-662D-4BB4-BCE0-C2135A195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234950"/>
          <a:ext cx="10337800" cy="212213"/>
        </a:xfrm>
        <a:prstGeom prst="rect">
          <a:avLst/>
        </a:prstGeom>
        <a:noFill/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57150</xdr:rowOff>
    </xdr:from>
    <xdr:to>
      <xdr:col>10</xdr:col>
      <xdr:colOff>25400</xdr:colOff>
      <xdr:row>2</xdr:row>
      <xdr:rowOff>110613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EE2A91-DFDB-4475-908E-01251E0CD1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215900"/>
          <a:ext cx="10337800" cy="212213"/>
        </a:xfrm>
        <a:prstGeom prst="rect">
          <a:avLst/>
        </a:prstGeom>
        <a:noFill/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</xdr:colOff>
      <xdr:row>1</xdr:row>
      <xdr:rowOff>63500</xdr:rowOff>
    </xdr:from>
    <xdr:to>
      <xdr:col>9</xdr:col>
      <xdr:colOff>584200</xdr:colOff>
      <xdr:row>2</xdr:row>
      <xdr:rowOff>91563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6864D-C055-4B2E-BB01-A482FB1731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700" y="247650"/>
          <a:ext cx="10337800" cy="212213"/>
        </a:xfrm>
        <a:prstGeom prst="rect">
          <a:avLst/>
        </a:prstGeom>
        <a:noFill/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manis/AppData/Local/Packages/microsoft.windowscommunicationsapps_8wekyb3d8bbwe/LocalState/Files/S0/4/Attachments/Excel%20Test_V2.0%5b394%5d.xlsm%5d.xlsm%5d.xlsm%5d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mble, Sri Prakash" refreshedDate="44613.922261458334" createdVersion="6" refreshedVersion="6" minRefreshableVersion="3" recordCount="64" xr:uid="{7B986747-F2B9-45DF-A0E2-8A16862C4099}">
  <cacheSource type="worksheet">
    <worksheetSource ref="A1:H65" sheet=".xlsm].xlsm].xlsm].xlsm]Sheet2" r:id="rId2"/>
  </cacheSource>
  <cacheFields count="10">
    <cacheField name="Date" numFmtId="14">
      <sharedItems containsSemiMixedTypes="0" containsNonDate="0" containsDate="1" containsString="0" minDate="2019-01-01T00:00:00" maxDate="2019-03-30T00:00:00"/>
    </cacheField>
    <cacheField name="Rep" numFmtId="0">
      <sharedItems count="6">
        <s v="Andrews"/>
        <s v="Gill"/>
        <s v="Howard"/>
        <s v="Jardine"/>
        <s v="Parent"/>
        <s v="Sorvino"/>
      </sharedItems>
    </cacheField>
    <cacheField name="Region" numFmtId="0">
      <sharedItems/>
    </cacheField>
    <cacheField name="Order Status" numFmtId="0">
      <sharedItems/>
    </cacheField>
    <cacheField name="Product" numFmtId="0">
      <sharedItems count="5">
        <s v="Binder"/>
        <s v="Desk"/>
        <s v="Pen"/>
        <s v="Pen Set"/>
        <s v="Pencil"/>
      </sharedItems>
    </cacheField>
    <cacheField name="Cost" numFmtId="0">
      <sharedItems containsSemiMixedTypes="0" containsString="0" containsNumber="1" minValue="1.99" maxValue="275"/>
    </cacheField>
    <cacheField name="Units" numFmtId="0">
      <sharedItems containsSemiMixedTypes="0" containsString="0" containsNumber="1" containsInteger="1" minValue="1" maxValue="99" count="44">
        <n v="50"/>
        <n v="27"/>
        <n v="81"/>
        <n v="46"/>
        <n v="87"/>
        <n v="80"/>
        <n v="60"/>
        <n v="29"/>
        <n v="4"/>
        <n v="28"/>
        <n v="71"/>
        <n v="70"/>
        <n v="7"/>
        <n v="86"/>
        <n v="2"/>
        <n v="5"/>
        <n v="1"/>
        <n v="3"/>
        <n v="56"/>
        <n v="64"/>
        <n v="96"/>
        <n v="74"/>
        <n v="77"/>
        <n v="15"/>
        <n v="41"/>
        <n v="76"/>
        <n v="62"/>
        <n v="68"/>
        <n v="16"/>
        <n v="48"/>
        <n v="75"/>
        <n v="99"/>
        <n v="55"/>
        <n v="42"/>
        <n v="66"/>
        <n v="67"/>
        <n v="53"/>
        <n v="95"/>
        <n v="35"/>
        <n v="12"/>
        <n v="36"/>
        <n v="90"/>
        <n v="20"/>
        <n v="32"/>
      </sharedItems>
    </cacheField>
    <cacheField name="Total" numFmtId="0">
      <sharedItems containsSemiMixedTypes="0" containsString="0" containsNumber="1" minValue="19.96" maxValue="1375"/>
    </cacheField>
    <cacheField name="Repbonus" numFmtId="0" formula="Total *3%" databaseField="0"/>
    <cacheField name="Bonus" numFmtId="0" formula=" IF(Units &gt;100,Repbonus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ish Kumar" refreshedDate="45083.618655555554" createdVersion="8" refreshedVersion="8" minRefreshableVersion="3" recordCount="30" xr:uid="{2BF0C259-0DAB-4589-9E5A-DBE517C1969A}">
  <cacheSource type="worksheet">
    <worksheetSource ref="B7:E37" sheet="I"/>
  </cacheSource>
  <cacheFields count="4">
    <cacheField name="Group" numFmtId="0">
      <sharedItems count="6">
        <s v="Finance"/>
        <s v="Cost Accounting"/>
        <s v="Business Ethics"/>
        <s v="Technical "/>
        <s v="Quality"/>
        <s v="Risk Analysis"/>
      </sharedItems>
    </cacheField>
    <cacheField name="Projects" numFmtId="0">
      <sharedItems containsSemiMixedTypes="0" containsString="0" containsNumber="1" containsInteger="1" minValue="12" maxValue="76"/>
    </cacheField>
    <cacheField name="Completed" numFmtId="0">
      <sharedItems containsSemiMixedTypes="0" containsString="0" containsNumber="1" containsInteger="1" minValue="20" maxValue="30"/>
    </cacheField>
    <cacheField name="incomplete" numFmtId="0">
      <sharedItems containsSemiMixedTypes="0" containsString="0" containsNumber="1" containsInteger="1" minValue="-17" maxValue="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ish Kumar" refreshedDate="45083.66095474537" createdVersion="8" refreshedVersion="8" minRefreshableVersion="3" recordCount="6" xr:uid="{20C0D947-4D2E-4E77-AD01-AB022A008690}">
  <cacheSource type="worksheet">
    <worksheetSource ref="C8:E14" sheet="J"/>
  </cacheSource>
  <cacheFields count="3">
    <cacheField name="GROUP " numFmtId="0">
      <sharedItems count="6">
        <s v="Business Ethics"/>
        <s v="Cost Accounting"/>
        <s v="Finance"/>
        <s v="Quality"/>
        <s v="Risk Analysis"/>
        <s v="Technical "/>
      </sharedItems>
    </cacheField>
    <cacheField name="Score" numFmtId="0">
      <sharedItems containsSemiMixedTypes="0" containsString="0" containsNumber="1" containsInteger="1" minValue="175" maxValue="300"/>
    </cacheField>
    <cacheField name="Max. Score" numFmtId="0">
      <sharedItems containsSemiMixedTypes="0" containsString="0" containsNumber="1" containsInteger="1" minValue="350" maxValue="350" count="1">
        <n v="3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ish Kumar" refreshedDate="45083.693969328706" createdVersion="8" refreshedVersion="8" minRefreshableVersion="3" recordCount="6" xr:uid="{D0BB7E1A-29C1-41C3-8889-7268161A7990}">
  <cacheSource type="worksheet">
    <worksheetSource ref="B8:F14" sheet="M"/>
  </cacheSource>
  <cacheFields count="5">
    <cacheField name="Period" numFmtId="0">
      <sharedItems count="6">
        <s v="P1"/>
        <s v="P2"/>
        <s v="P3"/>
        <s v="P4"/>
        <s v="P5"/>
        <s v="P6"/>
      </sharedItems>
    </cacheField>
    <cacheField name="Pure Utilization" numFmtId="9">
      <sharedItems containsSemiMixedTypes="0" containsString="0" containsNumber="1" minValue="0.53999999999999992" maxValue="0.91" count="6">
        <n v="0.82"/>
        <n v="0.67999999999999994"/>
        <n v="0.53999999999999992"/>
        <n v="0.66"/>
        <n v="0.78"/>
        <n v="0.91"/>
      </sharedItems>
    </cacheField>
    <cacheField name="PTO" numFmtId="9">
      <sharedItems containsSemiMixedTypes="0" containsString="0" containsNumber="1" minValue="0.02" maxValue="0.09" count="5">
        <n v="0.08"/>
        <n v="0.02"/>
        <n v="0.06"/>
        <n v="0.09"/>
        <n v="0.04"/>
      </sharedItems>
    </cacheField>
    <cacheField name="Holiday" numFmtId="9">
      <sharedItems containsSemiMixedTypes="0" containsString="0" containsNumber="1" minValue="0.02" maxValue="0.02"/>
    </cacheField>
    <cacheField name="Availability" numFmtId="9">
      <sharedItems containsSemiMixedTypes="0" containsString="0" containsNumber="1" minValue="2.9999999999999916E-2" maxValue="0.380000000000000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d v="2019-01-03T00:00:00"/>
    <x v="0"/>
    <s v="West"/>
    <s v="Shipped"/>
    <x v="0"/>
    <n v="4.99"/>
    <x v="0"/>
    <n v="249.5"/>
  </r>
  <r>
    <d v="2019-01-07T00:00:00"/>
    <x v="0"/>
    <s v="West"/>
    <s v="Shipped"/>
    <x v="0"/>
    <n v="4.99"/>
    <x v="1"/>
    <n v="134.73000000000002"/>
  </r>
  <r>
    <d v="2019-01-24T00:00:00"/>
    <x v="0"/>
    <s v="West"/>
    <s v="Backorder"/>
    <x v="0"/>
    <n v="4.99"/>
    <x v="2"/>
    <n v="404.19"/>
  </r>
  <r>
    <d v="2019-02-15T00:00:00"/>
    <x v="1"/>
    <s v="Central"/>
    <s v="Backorder"/>
    <x v="0"/>
    <n v="4.99"/>
    <x v="3"/>
    <n v="229.54000000000002"/>
  </r>
  <r>
    <d v="2019-02-21T00:00:00"/>
    <x v="1"/>
    <s v="Central"/>
    <s v="Shipped"/>
    <x v="0"/>
    <n v="4.99"/>
    <x v="4"/>
    <n v="434.13"/>
  </r>
  <r>
    <d v="2019-03-06T00:00:00"/>
    <x v="1"/>
    <s v="Central"/>
    <s v="Shipped"/>
    <x v="0"/>
    <n v="4.99"/>
    <x v="5"/>
    <n v="399.20000000000005"/>
  </r>
  <r>
    <d v="2019-01-04T00:00:00"/>
    <x v="2"/>
    <s v="East"/>
    <s v="Shipped"/>
    <x v="0"/>
    <n v="4.99"/>
    <x v="6"/>
    <n v="299.40000000000003"/>
  </r>
  <r>
    <d v="2019-01-15T00:00:00"/>
    <x v="2"/>
    <s v="East"/>
    <s v="Canceled"/>
    <x v="0"/>
    <n v="4.99"/>
    <x v="6"/>
    <n v="299.40000000000003"/>
  </r>
  <r>
    <d v="2019-01-18T00:00:00"/>
    <x v="2"/>
    <s v="East"/>
    <s v="Pending"/>
    <x v="0"/>
    <n v="4.99"/>
    <x v="7"/>
    <n v="144.71"/>
  </r>
  <r>
    <d v="2019-02-25T00:00:00"/>
    <x v="2"/>
    <s v="East"/>
    <s v="Shipped"/>
    <x v="0"/>
    <n v="4.99"/>
    <x v="8"/>
    <n v="19.96"/>
  </r>
  <r>
    <d v="2019-01-30T00:00:00"/>
    <x v="3"/>
    <s v="Central"/>
    <s v="Shipped"/>
    <x v="0"/>
    <n v="4.99"/>
    <x v="9"/>
    <n v="139.72"/>
  </r>
  <r>
    <d v="2019-02-07T00:00:00"/>
    <x v="4"/>
    <s v="East"/>
    <s v="Pending"/>
    <x v="0"/>
    <n v="4.99"/>
    <x v="10"/>
    <n v="354.29"/>
  </r>
  <r>
    <d v="2019-03-22T00:00:00"/>
    <x v="4"/>
    <s v="East"/>
    <s v="Backorder"/>
    <x v="0"/>
    <n v="4.99"/>
    <x v="11"/>
    <n v="349.3"/>
  </r>
  <r>
    <d v="2019-02-26T00:00:00"/>
    <x v="5"/>
    <s v="West"/>
    <s v="Shipped"/>
    <x v="0"/>
    <n v="4.99"/>
    <x v="12"/>
    <n v="34.93"/>
  </r>
  <r>
    <d v="2019-02-27T00:00:00"/>
    <x v="5"/>
    <s v="West"/>
    <s v="Canceled"/>
    <x v="0"/>
    <n v="4.99"/>
    <x v="13"/>
    <n v="429.14000000000004"/>
  </r>
  <r>
    <d v="2019-01-16T00:00:00"/>
    <x v="0"/>
    <s v="West"/>
    <s v="Shipped"/>
    <x v="1"/>
    <n v="275"/>
    <x v="14"/>
    <n v="550"/>
  </r>
  <r>
    <d v="2019-02-14T00:00:00"/>
    <x v="0"/>
    <s v="West"/>
    <s v="Shipped"/>
    <x v="1"/>
    <n v="275"/>
    <x v="15"/>
    <n v="1375"/>
  </r>
  <r>
    <d v="2019-03-25T00:00:00"/>
    <x v="0"/>
    <s v="West"/>
    <s v="Pending"/>
    <x v="1"/>
    <n v="275"/>
    <x v="8"/>
    <n v="1100"/>
  </r>
  <r>
    <d v="2019-01-25T00:00:00"/>
    <x v="1"/>
    <s v="Central"/>
    <s v="Shipped"/>
    <x v="1"/>
    <n v="275"/>
    <x v="14"/>
    <n v="550"/>
  </r>
  <r>
    <d v="2019-02-20T00:00:00"/>
    <x v="1"/>
    <s v="Central"/>
    <s v="Canceled"/>
    <x v="1"/>
    <n v="275"/>
    <x v="16"/>
    <n v="275"/>
  </r>
  <r>
    <d v="2019-01-28T00:00:00"/>
    <x v="2"/>
    <s v="East"/>
    <s v="Backorder"/>
    <x v="1"/>
    <n v="275"/>
    <x v="17"/>
    <n v="825"/>
  </r>
  <r>
    <d v="2019-01-21T00:00:00"/>
    <x v="4"/>
    <s v="East"/>
    <s v="Pending"/>
    <x v="1"/>
    <n v="275"/>
    <x v="16"/>
    <n v="275"/>
  </r>
  <r>
    <d v="2019-03-18T00:00:00"/>
    <x v="4"/>
    <s v="East"/>
    <s v="Backorder"/>
    <x v="1"/>
    <n v="275"/>
    <x v="15"/>
    <n v="1375"/>
  </r>
  <r>
    <d v="2019-02-11T00:00:00"/>
    <x v="5"/>
    <s v="West"/>
    <s v="Shipped"/>
    <x v="1"/>
    <n v="275"/>
    <x v="14"/>
    <n v="550"/>
  </r>
  <r>
    <d v="2019-03-12T00:00:00"/>
    <x v="5"/>
    <s v="West"/>
    <s v="Backorder"/>
    <x v="1"/>
    <n v="275"/>
    <x v="14"/>
    <n v="550"/>
  </r>
  <r>
    <d v="2019-03-19T00:00:00"/>
    <x v="5"/>
    <s v="West"/>
    <s v="Shipped"/>
    <x v="1"/>
    <n v="275"/>
    <x v="14"/>
    <n v="550"/>
  </r>
  <r>
    <d v="2019-01-29T00:00:00"/>
    <x v="0"/>
    <s v="West"/>
    <s v="Canceled"/>
    <x v="2"/>
    <n v="1.99"/>
    <x v="18"/>
    <n v="111.44"/>
  </r>
  <r>
    <d v="2019-02-05T00:00:00"/>
    <x v="2"/>
    <s v="East"/>
    <s v="Pending"/>
    <x v="2"/>
    <n v="1.99"/>
    <x v="19"/>
    <n v="127.36"/>
  </r>
  <r>
    <d v="2019-03-07T00:00:00"/>
    <x v="2"/>
    <s v="East"/>
    <s v="Shipped"/>
    <x v="2"/>
    <n v="1.99"/>
    <x v="20"/>
    <n v="191.04"/>
  </r>
  <r>
    <d v="2019-01-14T00:00:00"/>
    <x v="3"/>
    <s v="Central"/>
    <s v="Shipped"/>
    <x v="2"/>
    <n v="1.99"/>
    <x v="21"/>
    <n v="147.26"/>
  </r>
  <r>
    <d v="2019-03-29T00:00:00"/>
    <x v="3"/>
    <s v="Central"/>
    <s v="Shipped"/>
    <x v="2"/>
    <n v="1.99"/>
    <x v="22"/>
    <n v="153.22999999999999"/>
  </r>
  <r>
    <d v="2019-02-06T00:00:00"/>
    <x v="4"/>
    <s v="East"/>
    <s v="Pending"/>
    <x v="2"/>
    <n v="1.99"/>
    <x v="23"/>
    <n v="29.85"/>
  </r>
  <r>
    <d v="2019-02-19T00:00:00"/>
    <x v="4"/>
    <s v="East"/>
    <s v="Shipped"/>
    <x v="2"/>
    <n v="1.99"/>
    <x v="24"/>
    <n v="81.59"/>
  </r>
  <r>
    <d v="2019-03-28T00:00:00"/>
    <x v="5"/>
    <s v="West"/>
    <s v="Shipped"/>
    <x v="2"/>
    <n v="1.99"/>
    <x v="25"/>
    <n v="151.24"/>
  </r>
  <r>
    <d v="2019-02-08T00:00:00"/>
    <x v="0"/>
    <s v="West"/>
    <s v="Shipped"/>
    <x v="3"/>
    <n v="4.99"/>
    <x v="20"/>
    <n v="479.04"/>
  </r>
  <r>
    <d v="2019-02-22T00:00:00"/>
    <x v="0"/>
    <s v="West"/>
    <s v="Pending"/>
    <x v="3"/>
    <n v="4.99"/>
    <x v="26"/>
    <n v="309.38"/>
  </r>
  <r>
    <d v="2019-03-11T00:00:00"/>
    <x v="0"/>
    <s v="West"/>
    <s v="Pending"/>
    <x v="3"/>
    <n v="4.99"/>
    <x v="27"/>
    <n v="339.32"/>
  </r>
  <r>
    <d v="2019-02-01T00:00:00"/>
    <x v="2"/>
    <s v="East"/>
    <s v="Shipped"/>
    <x v="3"/>
    <n v="4.99"/>
    <x v="28"/>
    <n v="79.84"/>
  </r>
  <r>
    <d v="2019-02-04T00:00:00"/>
    <x v="2"/>
    <s v="East"/>
    <s v="Shipped"/>
    <x v="3"/>
    <n v="4.99"/>
    <x v="29"/>
    <n v="239.52"/>
  </r>
  <r>
    <d v="2019-03-01T00:00:00"/>
    <x v="2"/>
    <s v="East"/>
    <s v="Backorder"/>
    <x v="3"/>
    <n v="4.99"/>
    <x v="30"/>
    <n v="374.25"/>
  </r>
  <r>
    <d v="2019-02-18T00:00:00"/>
    <x v="3"/>
    <s v="Central"/>
    <s v="Pending"/>
    <x v="3"/>
    <n v="4.99"/>
    <x v="31"/>
    <n v="494.01000000000005"/>
  </r>
  <r>
    <d v="2019-02-28T00:00:00"/>
    <x v="3"/>
    <s v="Central"/>
    <s v="Shipped"/>
    <x v="3"/>
    <n v="4.99"/>
    <x v="0"/>
    <n v="249.5"/>
  </r>
  <r>
    <d v="2019-03-13T00:00:00"/>
    <x v="3"/>
    <s v="Central"/>
    <s v="Pending"/>
    <x v="3"/>
    <n v="4.99"/>
    <x v="32"/>
    <n v="274.45"/>
  </r>
  <r>
    <d v="2019-02-13T00:00:00"/>
    <x v="4"/>
    <s v="East"/>
    <s v="Shipped"/>
    <x v="3"/>
    <n v="4.99"/>
    <x v="21"/>
    <n v="369.26"/>
  </r>
  <r>
    <d v="2019-03-08T00:00:00"/>
    <x v="4"/>
    <s v="East"/>
    <s v="Backorder"/>
    <x v="3"/>
    <n v="4.99"/>
    <x v="26"/>
    <n v="309.38"/>
  </r>
  <r>
    <d v="2019-03-20T00:00:00"/>
    <x v="5"/>
    <s v="West"/>
    <s v="Shipped"/>
    <x v="3"/>
    <n v="4.99"/>
    <x v="33"/>
    <n v="209.58"/>
  </r>
  <r>
    <d v="2019-03-27T00:00:00"/>
    <x v="5"/>
    <s v="West"/>
    <s v="Shipped"/>
    <x v="3"/>
    <n v="4.99"/>
    <x v="7"/>
    <n v="144.71"/>
  </r>
  <r>
    <d v="2019-01-10T00:00:00"/>
    <x v="0"/>
    <s v="West"/>
    <s v="Shipped"/>
    <x v="4"/>
    <n v="2.99"/>
    <x v="30"/>
    <n v="224.25000000000003"/>
  </r>
  <r>
    <d v="2019-03-04T00:00:00"/>
    <x v="0"/>
    <s v="West"/>
    <s v="Pending"/>
    <x v="4"/>
    <n v="2.99"/>
    <x v="34"/>
    <n v="197.34"/>
  </r>
  <r>
    <d v="2019-02-12T00:00:00"/>
    <x v="1"/>
    <s v="Central"/>
    <s v="Canceled"/>
    <x v="4"/>
    <n v="2.99"/>
    <x v="35"/>
    <n v="200.33"/>
  </r>
  <r>
    <d v="2019-03-05T00:00:00"/>
    <x v="1"/>
    <s v="Central"/>
    <s v="Pending"/>
    <x v="4"/>
    <n v="2.99"/>
    <x v="36"/>
    <n v="158.47"/>
  </r>
  <r>
    <d v="2019-03-21T00:00:00"/>
    <x v="1"/>
    <s v="Central"/>
    <s v="Shipped"/>
    <x v="4"/>
    <n v="2.99"/>
    <x v="12"/>
    <n v="20.93"/>
  </r>
  <r>
    <d v="2019-01-02T00:00:00"/>
    <x v="2"/>
    <s v="East"/>
    <s v="Shipped"/>
    <x v="4"/>
    <n v="2.99"/>
    <x v="37"/>
    <n v="284.05"/>
  </r>
  <r>
    <d v="2019-01-23T00:00:00"/>
    <x v="2"/>
    <s v="East"/>
    <s v="Backorder"/>
    <x v="4"/>
    <n v="2.99"/>
    <x v="38"/>
    <n v="104.65"/>
  </r>
  <r>
    <d v="2019-01-31T00:00:00"/>
    <x v="2"/>
    <s v="East"/>
    <s v="Backorder"/>
    <x v="4"/>
    <n v="2.99"/>
    <x v="39"/>
    <n v="35.880000000000003"/>
  </r>
  <r>
    <d v="2019-01-01T00:00:00"/>
    <x v="3"/>
    <s v="Central"/>
    <s v="Shipped"/>
    <x v="4"/>
    <n v="2.99"/>
    <x v="40"/>
    <n v="107.64000000000001"/>
  </r>
  <r>
    <d v="2019-01-09T00:00:00"/>
    <x v="3"/>
    <s v="Central"/>
    <s v="Shipped"/>
    <x v="4"/>
    <n v="2.99"/>
    <x v="41"/>
    <n v="269.10000000000002"/>
  </r>
  <r>
    <d v="2019-01-17T00:00:00"/>
    <x v="3"/>
    <s v="Central"/>
    <s v="Pending"/>
    <x v="4"/>
    <n v="2.99"/>
    <x v="41"/>
    <n v="269.10000000000002"/>
  </r>
  <r>
    <d v="2019-01-22T00:00:00"/>
    <x v="3"/>
    <s v="Central"/>
    <s v="Canceled"/>
    <x v="4"/>
    <n v="2.99"/>
    <x v="42"/>
    <n v="59.800000000000004"/>
  </r>
  <r>
    <d v="2019-03-26T00:00:00"/>
    <x v="3"/>
    <s v="Central"/>
    <s v="Backorder"/>
    <x v="4"/>
    <n v="2.99"/>
    <x v="33"/>
    <n v="125.58000000000001"/>
  </r>
  <r>
    <d v="2019-03-14T00:00:00"/>
    <x v="4"/>
    <s v="East"/>
    <s v="Shipped"/>
    <x v="4"/>
    <n v="2.99"/>
    <x v="28"/>
    <n v="47.84"/>
  </r>
  <r>
    <d v="2019-03-15T00:00:00"/>
    <x v="4"/>
    <s v="East"/>
    <s v="Pending"/>
    <x v="4"/>
    <n v="2.99"/>
    <x v="27"/>
    <n v="203.32000000000002"/>
  </r>
  <r>
    <d v="2019-01-08T00:00:00"/>
    <x v="5"/>
    <s v="West"/>
    <s v="Shipped"/>
    <x v="4"/>
    <n v="2.99"/>
    <x v="18"/>
    <n v="167.44"/>
  </r>
  <r>
    <d v="2019-01-11T00:00:00"/>
    <x v="5"/>
    <s v="West"/>
    <s v="Canceled"/>
    <x v="4"/>
    <n v="2.99"/>
    <x v="43"/>
    <n v="95.6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n v="32"/>
    <n v="26"/>
    <n v="6"/>
  </r>
  <r>
    <x v="0"/>
    <n v="34"/>
    <n v="28"/>
    <n v="6"/>
  </r>
  <r>
    <x v="0"/>
    <n v="45"/>
    <n v="26"/>
    <n v="19"/>
  </r>
  <r>
    <x v="0"/>
    <n v="65"/>
    <n v="25"/>
    <n v="40"/>
  </r>
  <r>
    <x v="0"/>
    <n v="65"/>
    <n v="26"/>
    <n v="39"/>
  </r>
  <r>
    <x v="1"/>
    <n v="45"/>
    <n v="20"/>
    <n v="25"/>
  </r>
  <r>
    <x v="1"/>
    <n v="76"/>
    <n v="23"/>
    <n v="53"/>
  </r>
  <r>
    <x v="1"/>
    <n v="65"/>
    <n v="20"/>
    <n v="45"/>
  </r>
  <r>
    <x v="1"/>
    <n v="75"/>
    <n v="27"/>
    <n v="48"/>
  </r>
  <r>
    <x v="1"/>
    <n v="34"/>
    <n v="25"/>
    <n v="9"/>
  </r>
  <r>
    <x v="2"/>
    <n v="65"/>
    <n v="25"/>
    <n v="40"/>
  </r>
  <r>
    <x v="2"/>
    <n v="34"/>
    <n v="30"/>
    <n v="4"/>
  </r>
  <r>
    <x v="2"/>
    <n v="76"/>
    <n v="20"/>
    <n v="56"/>
  </r>
  <r>
    <x v="2"/>
    <n v="47"/>
    <n v="24"/>
    <n v="23"/>
  </r>
  <r>
    <x v="2"/>
    <n v="32"/>
    <n v="20"/>
    <n v="12"/>
  </r>
  <r>
    <x v="3"/>
    <n v="23"/>
    <n v="21"/>
    <n v="2"/>
  </r>
  <r>
    <x v="3"/>
    <n v="27"/>
    <n v="26"/>
    <n v="1"/>
  </r>
  <r>
    <x v="3"/>
    <n v="34"/>
    <n v="22"/>
    <n v="12"/>
  </r>
  <r>
    <x v="3"/>
    <n v="43"/>
    <n v="25"/>
    <n v="18"/>
  </r>
  <r>
    <x v="3"/>
    <n v="45"/>
    <n v="24"/>
    <n v="21"/>
  </r>
  <r>
    <x v="4"/>
    <n v="76"/>
    <n v="23"/>
    <n v="53"/>
  </r>
  <r>
    <x v="4"/>
    <n v="65"/>
    <n v="24"/>
    <n v="41"/>
  </r>
  <r>
    <x v="4"/>
    <n v="25"/>
    <n v="27"/>
    <n v="-2"/>
  </r>
  <r>
    <x v="4"/>
    <n v="76"/>
    <n v="23"/>
    <n v="53"/>
  </r>
  <r>
    <x v="4"/>
    <n v="54"/>
    <n v="25"/>
    <n v="29"/>
  </r>
  <r>
    <x v="5"/>
    <n v="12"/>
    <n v="29"/>
    <n v="-17"/>
  </r>
  <r>
    <x v="5"/>
    <n v="45"/>
    <n v="24"/>
    <n v="21"/>
  </r>
  <r>
    <x v="5"/>
    <n v="56"/>
    <n v="25"/>
    <n v="31"/>
  </r>
  <r>
    <x v="5"/>
    <n v="34"/>
    <n v="23"/>
    <n v="11"/>
  </r>
  <r>
    <x v="5"/>
    <n v="43"/>
    <n v="26"/>
    <n v="1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n v="225"/>
    <x v="0"/>
  </r>
  <r>
    <x v="1"/>
    <n v="250"/>
    <x v="0"/>
  </r>
  <r>
    <x v="2"/>
    <n v="200"/>
    <x v="0"/>
  </r>
  <r>
    <x v="3"/>
    <n v="300"/>
    <x v="0"/>
  </r>
  <r>
    <x v="4"/>
    <n v="250"/>
    <x v="0"/>
  </r>
  <r>
    <x v="5"/>
    <n v="175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0.02"/>
    <n v="8.0000000000000071E-2"/>
  </r>
  <r>
    <x v="1"/>
    <x v="1"/>
    <x v="1"/>
    <n v="0.02"/>
    <n v="0.28000000000000003"/>
  </r>
  <r>
    <x v="2"/>
    <x v="2"/>
    <x v="2"/>
    <n v="0.02"/>
    <n v="0.38000000000000012"/>
  </r>
  <r>
    <x v="3"/>
    <x v="3"/>
    <x v="0"/>
    <n v="0.02"/>
    <n v="0.24"/>
  </r>
  <r>
    <x v="4"/>
    <x v="4"/>
    <x v="3"/>
    <n v="0.02"/>
    <n v="0.10999999999999999"/>
  </r>
  <r>
    <x v="5"/>
    <x v="5"/>
    <x v="4"/>
    <n v="0.02"/>
    <n v="2.9999999999999916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43DDE7-F26B-414A-84C6-4D070FDE7AD9}" name="PivotTable3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7:K24" firstHeaderRow="0" firstDataRow="1" firstDataCol="1"/>
  <pivotFields count="4">
    <pivotField axis="axisRow" showAll="0">
      <items count="7">
        <item x="2"/>
        <item x="1"/>
        <item x="0"/>
        <item x="4"/>
        <item x="5"/>
        <item x="3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Projects" fld="1" baseField="0" baseItem="0"/>
    <dataField name="Sum of Completed" fld="2" baseField="0" baseItem="0"/>
    <dataField name="Sum of incomplet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734CB-FE1A-4DF4-A8C8-15C3CF9B602B}" name="PivotTable6" cacheId="2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G8:I15" firstHeaderRow="0" firstDataRow="1" firstDataCol="1"/>
  <pivotFields count="3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dataField="1" showAll="0">
      <items count="2">
        <item x="0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core" fld="1" baseField="0" baseItem="0"/>
    <dataField name="Sum of Max. Score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BA40AE-1E9E-44A2-B831-F431E3DEA7DC}" name="PivotTable7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I17:M24" firstHeaderRow="0" firstDataRow="1" firstDataCol="1"/>
  <pivotFields count="5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numFmtId="9" showAll="0">
      <items count="7">
        <item x="2"/>
        <item x="3"/>
        <item x="1"/>
        <item x="4"/>
        <item x="0"/>
        <item x="5"/>
        <item t="default"/>
      </items>
    </pivotField>
    <pivotField dataField="1" numFmtId="9" showAll="0">
      <items count="6">
        <item x="1"/>
        <item x="4"/>
        <item x="2"/>
        <item x="0"/>
        <item x="3"/>
        <item t="default"/>
      </items>
    </pivotField>
    <pivotField dataField="1" numFmtId="9" showAll="0"/>
    <pivotField dataField="1" numFmtId="9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Pure Utilization" fld="1" baseField="0" baseItem="0"/>
    <dataField name="Sum of PTO" fld="2" baseField="0" baseItem="0"/>
    <dataField name="Sum of Holiday" fld="3" baseField="0" baseItem="0"/>
    <dataField name="Sum of Availability" fld="4" baseField="0" baseItem="0"/>
  </dataFields>
  <chartFormats count="4">
    <chartFormat chart="0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58B5A4-D624-4B01-B7F2-5C25F07AD083}" name="PivotTable2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gridDropZones="1" multipleFieldFilters="0">
  <location ref="A9:E44" firstHeaderRow="1" firstDataRow="2" firstDataCol="1"/>
  <pivotFields count="10">
    <pivotField numFmtId="14" showAll="0" defaultSubtota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 defaultSubtotal="0"/>
    <pivotField showAll="0" defaultSubtotal="0"/>
    <pivotField axis="axisRow" showAll="0" defaultSubtotal="0">
      <items count="5">
        <item x="0"/>
        <item x="1"/>
        <item x="2"/>
        <item x="3"/>
        <item x="4"/>
      </items>
    </pivotField>
    <pivotField showAll="0" defaultSubtotal="0"/>
    <pivotField dataField="1" showAll="0" defaultSubtotal="0">
      <items count="44">
        <item x="16"/>
        <item x="14"/>
        <item x="17"/>
        <item x="8"/>
        <item x="15"/>
        <item x="12"/>
        <item x="39"/>
        <item x="23"/>
        <item x="28"/>
        <item x="42"/>
        <item x="1"/>
        <item x="9"/>
        <item x="7"/>
        <item x="43"/>
        <item x="38"/>
        <item x="40"/>
        <item x="24"/>
        <item x="33"/>
        <item x="3"/>
        <item x="29"/>
        <item x="0"/>
        <item x="36"/>
        <item x="32"/>
        <item x="18"/>
        <item x="6"/>
        <item x="26"/>
        <item x="19"/>
        <item x="34"/>
        <item x="35"/>
        <item x="27"/>
        <item x="11"/>
        <item x="10"/>
        <item x="21"/>
        <item x="30"/>
        <item x="25"/>
        <item x="22"/>
        <item x="5"/>
        <item x="2"/>
        <item x="13"/>
        <item x="4"/>
        <item x="41"/>
        <item x="37"/>
        <item x="20"/>
        <item x="31"/>
      </items>
    </pivotField>
    <pivotField dataField="1" showAll="0" defaultSubtotal="0"/>
    <pivotField dataField="1" subtotalTop="0" dragToRow="0" dragToCol="0" dragToPage="0" showAll="0" defaultSubtotal="0"/>
    <pivotField dataField="1" subtotalTop="0" dragToRow="0" dragToCol="0" dragToPage="0" showAll="0" defaultSubtotal="0"/>
  </pivotFields>
  <rowFields count="2">
    <field x="1"/>
    <field x="4"/>
  </rowFields>
  <rowItems count="34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>
      <x v="5"/>
    </i>
    <i r="1">
      <x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Units" fld="6" baseField="0" baseItem="0"/>
    <dataField name="Sum of Total" fld="7" baseField="0" baseItem="0"/>
    <dataField name="Sum of Repbonus" fld="8" baseField="0" baseItem="0"/>
    <dataField name="Sum of Bonus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ramesh@ABC.COM" TargetMode="External"/><Relationship Id="rId2" Type="http://schemas.openxmlformats.org/officeDocument/2006/relationships/hyperlink" Target="mailto:xyz@digital.com" TargetMode="External"/><Relationship Id="rId1" Type="http://schemas.openxmlformats.org/officeDocument/2006/relationships/hyperlink" Target="mailto:suresh@wedgerl.com" TargetMode="Externa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3:K25"/>
  <sheetViews>
    <sheetView showGridLines="0" workbookViewId="0">
      <selection activeCell="I11" sqref="I11:I16"/>
    </sheetView>
  </sheetViews>
  <sheetFormatPr defaultRowHeight="15" x14ac:dyDescent="0.25"/>
  <cols>
    <col min="5" max="5" width="22.140625" bestFit="1" customWidth="1"/>
    <col min="6" max="6" width="26" bestFit="1" customWidth="1"/>
    <col min="7" max="7" width="20.85546875" customWidth="1"/>
    <col min="8" max="8" width="31.5703125" bestFit="1" customWidth="1"/>
    <col min="11" max="11" width="6.5703125" customWidth="1"/>
  </cols>
  <sheetData>
    <row r="3" spans="1:11" x14ac:dyDescent="0.25">
      <c r="K3" s="7"/>
    </row>
    <row r="4" spans="1:11" x14ac:dyDescent="0.25">
      <c r="J4" s="7" t="s">
        <v>9</v>
      </c>
      <c r="K4" s="7"/>
    </row>
    <row r="5" spans="1:11" x14ac:dyDescent="0.25">
      <c r="A5" t="s">
        <v>1216</v>
      </c>
    </row>
    <row r="6" spans="1:11" x14ac:dyDescent="0.25">
      <c r="A6" t="s">
        <v>37</v>
      </c>
    </row>
    <row r="7" spans="1:11" x14ac:dyDescent="0.25">
      <c r="A7" t="s">
        <v>38</v>
      </c>
    </row>
    <row r="8" spans="1:11" x14ac:dyDescent="0.25">
      <c r="A8" t="s">
        <v>147</v>
      </c>
    </row>
    <row r="10" spans="1:11" x14ac:dyDescent="0.25">
      <c r="E10" s="3" t="s">
        <v>32</v>
      </c>
      <c r="F10" s="5" t="s">
        <v>35</v>
      </c>
      <c r="G10" s="3" t="s">
        <v>36</v>
      </c>
      <c r="H10" s="5" t="s">
        <v>104</v>
      </c>
    </row>
    <row r="11" spans="1:11" x14ac:dyDescent="0.25">
      <c r="E11" s="1" t="s">
        <v>101</v>
      </c>
      <c r="F11" s="6">
        <f>LEN(E11)</f>
        <v>12</v>
      </c>
      <c r="G11" s="1">
        <f>LEN(SUBSTITUTE(E11," ",""))</f>
        <v>11</v>
      </c>
      <c r="H11" s="6" t="str">
        <f>PROPER(E11)</f>
        <v>Maria Anders</v>
      </c>
    </row>
    <row r="12" spans="1:11" x14ac:dyDescent="0.25">
      <c r="E12" s="1" t="s">
        <v>105</v>
      </c>
      <c r="F12" s="6">
        <f t="shared" ref="F12:F16" si="0">LEN(E12)</f>
        <v>17</v>
      </c>
      <c r="G12" s="1">
        <f t="shared" ref="G12:G16" si="1">LEN(SUBSTITUTE(E12," ",""))</f>
        <v>11</v>
      </c>
      <c r="H12" s="6" t="str">
        <f t="shared" ref="H12:H16" si="2">PROPER(E12)</f>
        <v xml:space="preserve"> Ana Trujillo    </v>
      </c>
    </row>
    <row r="13" spans="1:11" x14ac:dyDescent="0.25">
      <c r="E13" s="1" t="s">
        <v>102</v>
      </c>
      <c r="F13" s="6">
        <f t="shared" si="0"/>
        <v>23</v>
      </c>
      <c r="G13" s="1">
        <f t="shared" si="1"/>
        <v>13</v>
      </c>
      <c r="H13" s="6" t="str">
        <f t="shared" si="2"/>
        <v xml:space="preserve">  Antonio        Aoreno</v>
      </c>
    </row>
    <row r="14" spans="1:11" x14ac:dyDescent="0.25">
      <c r="E14" s="1" t="s">
        <v>33</v>
      </c>
      <c r="F14" s="6">
        <f t="shared" si="0"/>
        <v>17</v>
      </c>
      <c r="G14" s="1">
        <f t="shared" si="1"/>
        <v>11</v>
      </c>
      <c r="H14" s="6" t="str">
        <f t="shared" si="2"/>
        <v>Thomas      Hardy</v>
      </c>
    </row>
    <row r="15" spans="1:11" x14ac:dyDescent="0.25">
      <c r="E15" s="1" t="s">
        <v>103</v>
      </c>
      <c r="F15" s="6">
        <f t="shared" si="0"/>
        <v>26</v>
      </c>
      <c r="G15" s="1">
        <f t="shared" si="1"/>
        <v>15</v>
      </c>
      <c r="H15" s="6" t="str">
        <f t="shared" si="2"/>
        <v>Angus     Glen      Dunlop</v>
      </c>
    </row>
    <row r="16" spans="1:11" x14ac:dyDescent="0.25">
      <c r="E16" s="1" t="s">
        <v>34</v>
      </c>
      <c r="F16" s="6">
        <f t="shared" si="0"/>
        <v>22</v>
      </c>
      <c r="G16" s="1">
        <f t="shared" si="1"/>
        <v>17</v>
      </c>
      <c r="H16" s="6" t="str">
        <f t="shared" si="2"/>
        <v xml:space="preserve">  Christina Berglund  </v>
      </c>
    </row>
    <row r="25" spans="1:9" x14ac:dyDescent="0.25">
      <c r="A25" s="9"/>
      <c r="H25" s="4"/>
      <c r="I25" s="4"/>
    </row>
  </sheetData>
  <hyperlinks>
    <hyperlink ref="J4" location="B!A1" display="NEXT QUESTION" xr:uid="{00000000-0004-0000-0000-000000000000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4:N1470"/>
  <sheetViews>
    <sheetView showGridLines="0" workbookViewId="0">
      <selection activeCell="H13" sqref="H13"/>
    </sheetView>
  </sheetViews>
  <sheetFormatPr defaultRowHeight="15" x14ac:dyDescent="0.25"/>
  <cols>
    <col min="2" max="2" width="18.140625" style="4" bestFit="1" customWidth="1"/>
    <col min="3" max="4" width="15.140625" customWidth="1"/>
    <col min="5" max="5" width="12.5703125" bestFit="1" customWidth="1"/>
    <col min="6" max="6" width="9.140625" style="4"/>
    <col min="7" max="7" width="12.5703125" bestFit="1" customWidth="1"/>
  </cols>
  <sheetData>
    <row r="4" spans="1:14" x14ac:dyDescent="0.25">
      <c r="N4" s="7" t="s">
        <v>9</v>
      </c>
    </row>
    <row r="5" spans="1:14" x14ac:dyDescent="0.25">
      <c r="A5" t="s">
        <v>1217</v>
      </c>
    </row>
    <row r="7" spans="1:14" x14ac:dyDescent="0.25">
      <c r="B7"/>
      <c r="C7" s="2" t="s">
        <v>100</v>
      </c>
      <c r="D7" s="22" t="s">
        <v>99</v>
      </c>
      <c r="F7"/>
      <c r="G7" s="3" t="s">
        <v>49</v>
      </c>
      <c r="H7" s="28" cm="1">
        <f t="array" ref="H7">SUM(VALUE(D8:D1469))</f>
        <v>4023.1630000000082</v>
      </c>
    </row>
    <row r="8" spans="1:14" x14ac:dyDescent="0.25">
      <c r="B8"/>
      <c r="C8" s="1" t="s">
        <v>51</v>
      </c>
      <c r="D8" s="6" t="s">
        <v>62</v>
      </c>
      <c r="E8" cm="1">
        <f t="array" ref="E8:E1469">VALUE(D8:D1469)</f>
        <v>2</v>
      </c>
      <c r="F8"/>
      <c r="H8" s="4"/>
    </row>
    <row r="9" spans="1:14" x14ac:dyDescent="0.25">
      <c r="B9"/>
      <c r="C9" s="1" t="s">
        <v>52</v>
      </c>
      <c r="D9" s="6" t="s">
        <v>63</v>
      </c>
      <c r="E9">
        <v>1</v>
      </c>
      <c r="F9"/>
      <c r="H9" s="4"/>
    </row>
    <row r="10" spans="1:14" x14ac:dyDescent="0.25">
      <c r="B10"/>
      <c r="C10" s="1" t="s">
        <v>7</v>
      </c>
      <c r="D10" s="6" t="s">
        <v>64</v>
      </c>
      <c r="E10">
        <v>1.5</v>
      </c>
      <c r="F10"/>
      <c r="H10" s="4"/>
    </row>
    <row r="11" spans="1:14" x14ac:dyDescent="0.25">
      <c r="B11"/>
      <c r="C11" s="1" t="s">
        <v>53</v>
      </c>
      <c r="D11" s="6" t="s">
        <v>62</v>
      </c>
      <c r="E11">
        <v>2</v>
      </c>
      <c r="F11"/>
      <c r="H11" s="4"/>
    </row>
    <row r="12" spans="1:14" x14ac:dyDescent="0.25">
      <c r="B12"/>
      <c r="C12" s="1" t="s">
        <v>54</v>
      </c>
      <c r="D12" s="6" t="s">
        <v>62</v>
      </c>
      <c r="E12">
        <v>2</v>
      </c>
      <c r="F12"/>
      <c r="H12" s="4"/>
    </row>
    <row r="13" spans="1:14" x14ac:dyDescent="0.25">
      <c r="B13"/>
      <c r="C13" s="1" t="s">
        <v>51</v>
      </c>
      <c r="D13" s="6" t="s">
        <v>62</v>
      </c>
      <c r="E13">
        <v>2</v>
      </c>
      <c r="F13"/>
      <c r="H13" s="4"/>
    </row>
    <row r="14" spans="1:14" x14ac:dyDescent="0.25">
      <c r="B14"/>
      <c r="C14" s="1" t="s">
        <v>52</v>
      </c>
      <c r="D14" s="6" t="s">
        <v>65</v>
      </c>
      <c r="E14">
        <v>2</v>
      </c>
      <c r="F14"/>
      <c r="H14" s="4"/>
    </row>
    <row r="15" spans="1:14" x14ac:dyDescent="0.25">
      <c r="B15"/>
      <c r="C15" s="1" t="s">
        <v>7</v>
      </c>
      <c r="D15" s="6" t="s">
        <v>66</v>
      </c>
      <c r="E15">
        <v>2.2999999999999998</v>
      </c>
      <c r="F15"/>
      <c r="H15" s="4"/>
    </row>
    <row r="16" spans="1:14" x14ac:dyDescent="0.25">
      <c r="B16"/>
      <c r="C16" s="1" t="s">
        <v>53</v>
      </c>
      <c r="D16" s="6" t="s">
        <v>65</v>
      </c>
      <c r="E16">
        <v>2</v>
      </c>
      <c r="F16"/>
      <c r="H16" s="4"/>
    </row>
    <row r="17" spans="2:8" x14ac:dyDescent="0.25">
      <c r="B17"/>
      <c r="C17" s="1" t="s">
        <v>54</v>
      </c>
      <c r="D17" s="6" t="s">
        <v>62</v>
      </c>
      <c r="E17">
        <v>2</v>
      </c>
      <c r="F17"/>
      <c r="H17" s="4"/>
    </row>
    <row r="18" spans="2:8" x14ac:dyDescent="0.25">
      <c r="B18"/>
      <c r="C18" s="1" t="s">
        <v>51</v>
      </c>
      <c r="D18" s="6" t="s">
        <v>62</v>
      </c>
      <c r="E18">
        <v>2</v>
      </c>
      <c r="F18"/>
      <c r="H18" s="4"/>
    </row>
    <row r="19" spans="2:8" x14ac:dyDescent="0.25">
      <c r="B19"/>
      <c r="C19" s="1" t="s">
        <v>52</v>
      </c>
      <c r="D19" s="6" t="s">
        <v>65</v>
      </c>
      <c r="E19">
        <v>2</v>
      </c>
      <c r="F19"/>
      <c r="H19" s="4"/>
    </row>
    <row r="20" spans="2:8" x14ac:dyDescent="0.25">
      <c r="B20"/>
      <c r="C20" s="1" t="s">
        <v>7</v>
      </c>
      <c r="D20" s="6" t="s">
        <v>67</v>
      </c>
      <c r="E20">
        <v>3</v>
      </c>
      <c r="F20"/>
      <c r="H20" s="4"/>
    </row>
    <row r="21" spans="2:8" x14ac:dyDescent="0.25">
      <c r="B21"/>
      <c r="C21" s="1" t="s">
        <v>53</v>
      </c>
      <c r="D21" s="6" t="s">
        <v>62</v>
      </c>
      <c r="E21">
        <v>2</v>
      </c>
      <c r="F21"/>
      <c r="H21" s="4"/>
    </row>
    <row r="22" spans="2:8" x14ac:dyDescent="0.25">
      <c r="B22"/>
      <c r="C22" s="1" t="s">
        <v>54</v>
      </c>
      <c r="D22" s="6" t="s">
        <v>62</v>
      </c>
      <c r="E22">
        <v>2</v>
      </c>
      <c r="F22"/>
      <c r="H22" s="4"/>
    </row>
    <row r="23" spans="2:8" x14ac:dyDescent="0.25">
      <c r="B23"/>
      <c r="C23" s="1" t="s">
        <v>51</v>
      </c>
      <c r="D23" s="6" t="s">
        <v>62</v>
      </c>
      <c r="E23">
        <v>2</v>
      </c>
      <c r="F23"/>
      <c r="H23" s="4"/>
    </row>
    <row r="24" spans="2:8" x14ac:dyDescent="0.25">
      <c r="B24"/>
      <c r="C24" s="1" t="s">
        <v>52</v>
      </c>
      <c r="D24" s="6" t="s">
        <v>65</v>
      </c>
      <c r="E24">
        <v>2</v>
      </c>
      <c r="F24"/>
      <c r="H24" s="4"/>
    </row>
    <row r="25" spans="2:8" x14ac:dyDescent="0.25">
      <c r="B25"/>
      <c r="C25" s="1" t="s">
        <v>7</v>
      </c>
      <c r="D25" s="6" t="s">
        <v>62</v>
      </c>
      <c r="E25">
        <v>2</v>
      </c>
      <c r="F25"/>
      <c r="H25" s="4"/>
    </row>
    <row r="26" spans="2:8" x14ac:dyDescent="0.25">
      <c r="B26"/>
      <c r="C26" s="1" t="s">
        <v>53</v>
      </c>
      <c r="D26" s="6" t="s">
        <v>68</v>
      </c>
      <c r="E26">
        <v>1.25</v>
      </c>
      <c r="F26"/>
      <c r="H26" s="4"/>
    </row>
    <row r="27" spans="2:8" x14ac:dyDescent="0.25">
      <c r="B27"/>
      <c r="C27" s="1" t="s">
        <v>54</v>
      </c>
      <c r="D27" s="6" t="s">
        <v>67</v>
      </c>
      <c r="E27">
        <v>3</v>
      </c>
      <c r="F27"/>
      <c r="H27" s="4"/>
    </row>
    <row r="28" spans="2:8" x14ac:dyDescent="0.25">
      <c r="B28"/>
      <c r="C28" s="1" t="s">
        <v>51</v>
      </c>
      <c r="D28" s="6" t="s">
        <v>62</v>
      </c>
      <c r="E28">
        <v>2</v>
      </c>
      <c r="F28"/>
      <c r="H28" s="4"/>
    </row>
    <row r="29" spans="2:8" x14ac:dyDescent="0.25">
      <c r="B29"/>
      <c r="C29" s="1" t="s">
        <v>52</v>
      </c>
      <c r="D29" s="6" t="s">
        <v>62</v>
      </c>
      <c r="E29">
        <v>2</v>
      </c>
      <c r="F29"/>
      <c r="H29" s="4"/>
    </row>
    <row r="30" spans="2:8" x14ac:dyDescent="0.25">
      <c r="B30"/>
      <c r="C30" s="1" t="s">
        <v>7</v>
      </c>
      <c r="D30" s="6" t="s">
        <v>62</v>
      </c>
      <c r="E30">
        <v>2</v>
      </c>
      <c r="F30"/>
      <c r="H30" s="4"/>
    </row>
    <row r="31" spans="2:8" x14ac:dyDescent="0.25">
      <c r="B31"/>
      <c r="C31" s="1" t="s">
        <v>53</v>
      </c>
      <c r="D31" s="6" t="s">
        <v>62</v>
      </c>
      <c r="E31">
        <v>2</v>
      </c>
      <c r="F31"/>
      <c r="H31" s="4"/>
    </row>
    <row r="32" spans="2:8" x14ac:dyDescent="0.25">
      <c r="B32"/>
      <c r="C32" s="1" t="s">
        <v>54</v>
      </c>
      <c r="D32" s="6" t="s">
        <v>69</v>
      </c>
      <c r="E32">
        <v>1</v>
      </c>
      <c r="F32"/>
      <c r="H32" s="4"/>
    </row>
    <row r="33" spans="2:8" x14ac:dyDescent="0.25">
      <c r="B33"/>
      <c r="C33" s="1" t="s">
        <v>51</v>
      </c>
      <c r="D33" s="6" t="s">
        <v>64</v>
      </c>
      <c r="E33">
        <v>1.5</v>
      </c>
      <c r="F33"/>
      <c r="H33" s="4"/>
    </row>
    <row r="34" spans="2:8" x14ac:dyDescent="0.25">
      <c r="B34"/>
      <c r="C34" s="1" t="s">
        <v>52</v>
      </c>
      <c r="D34" s="6" t="s">
        <v>62</v>
      </c>
      <c r="E34">
        <v>2</v>
      </c>
      <c r="F34"/>
      <c r="H34" s="4"/>
    </row>
    <row r="35" spans="2:8" x14ac:dyDescent="0.25">
      <c r="B35"/>
      <c r="C35" s="1" t="s">
        <v>7</v>
      </c>
      <c r="D35" s="6" t="s">
        <v>65</v>
      </c>
      <c r="E35">
        <v>2</v>
      </c>
      <c r="F35"/>
      <c r="H35" s="4"/>
    </row>
    <row r="36" spans="2:8" x14ac:dyDescent="0.25">
      <c r="B36"/>
      <c r="C36" s="1" t="s">
        <v>53</v>
      </c>
      <c r="D36" s="6" t="s">
        <v>69</v>
      </c>
      <c r="E36">
        <v>1</v>
      </c>
      <c r="F36"/>
      <c r="H36" s="4"/>
    </row>
    <row r="37" spans="2:8" x14ac:dyDescent="0.25">
      <c r="B37"/>
      <c r="C37" s="1" t="s">
        <v>54</v>
      </c>
      <c r="D37" s="6" t="s">
        <v>62</v>
      </c>
      <c r="E37">
        <v>2</v>
      </c>
      <c r="F37"/>
      <c r="H37" s="4"/>
    </row>
    <row r="38" spans="2:8" x14ac:dyDescent="0.25">
      <c r="B38"/>
      <c r="C38" s="1" t="s">
        <v>51</v>
      </c>
      <c r="D38" s="6" t="s">
        <v>64</v>
      </c>
      <c r="E38">
        <v>1.5</v>
      </c>
      <c r="F38"/>
      <c r="H38" s="4"/>
    </row>
    <row r="39" spans="2:8" x14ac:dyDescent="0.25">
      <c r="B39"/>
      <c r="C39" s="1" t="s">
        <v>52</v>
      </c>
      <c r="D39" s="6" t="s">
        <v>62</v>
      </c>
      <c r="E39">
        <v>2</v>
      </c>
      <c r="F39"/>
      <c r="H39" s="4"/>
    </row>
    <row r="40" spans="2:8" x14ac:dyDescent="0.25">
      <c r="B40"/>
      <c r="C40" s="1" t="s">
        <v>7</v>
      </c>
      <c r="D40" s="6" t="s">
        <v>62</v>
      </c>
      <c r="E40">
        <v>2</v>
      </c>
      <c r="F40"/>
      <c r="H40" s="4"/>
    </row>
    <row r="41" spans="2:8" x14ac:dyDescent="0.25">
      <c r="B41"/>
      <c r="C41" s="1" t="s">
        <v>53</v>
      </c>
      <c r="D41" s="6" t="s">
        <v>66</v>
      </c>
      <c r="E41">
        <v>2.2999999999999998</v>
      </c>
      <c r="F41"/>
      <c r="H41" s="4"/>
    </row>
    <row r="42" spans="2:8" x14ac:dyDescent="0.25">
      <c r="B42"/>
      <c r="C42" s="1" t="s">
        <v>54</v>
      </c>
      <c r="D42" s="6" t="s">
        <v>62</v>
      </c>
      <c r="E42">
        <v>2</v>
      </c>
      <c r="F42"/>
      <c r="H42" s="4"/>
    </row>
    <row r="43" spans="2:8" x14ac:dyDescent="0.25">
      <c r="B43"/>
      <c r="C43" s="1" t="s">
        <v>51</v>
      </c>
      <c r="D43" s="6" t="s">
        <v>69</v>
      </c>
      <c r="E43">
        <v>1</v>
      </c>
      <c r="F43"/>
      <c r="H43" s="4"/>
    </row>
    <row r="44" spans="2:8" x14ac:dyDescent="0.25">
      <c r="B44"/>
      <c r="C44" s="1" t="s">
        <v>52</v>
      </c>
      <c r="D44" s="6" t="s">
        <v>62</v>
      </c>
      <c r="E44">
        <v>2</v>
      </c>
      <c r="F44"/>
      <c r="H44" s="4"/>
    </row>
    <row r="45" spans="2:8" x14ac:dyDescent="0.25">
      <c r="B45"/>
      <c r="C45" s="1" t="s">
        <v>7</v>
      </c>
      <c r="D45" s="6" t="s">
        <v>64</v>
      </c>
      <c r="E45">
        <v>1.5</v>
      </c>
      <c r="F45"/>
      <c r="H45" s="4"/>
    </row>
    <row r="46" spans="2:8" x14ac:dyDescent="0.25">
      <c r="B46"/>
      <c r="C46" s="1" t="s">
        <v>53</v>
      </c>
      <c r="D46" s="6" t="s">
        <v>62</v>
      </c>
      <c r="E46">
        <v>2</v>
      </c>
      <c r="F46"/>
      <c r="H46" s="4"/>
    </row>
    <row r="47" spans="2:8" x14ac:dyDescent="0.25">
      <c r="B47"/>
      <c r="C47" s="1" t="s">
        <v>54</v>
      </c>
      <c r="D47" s="6" t="s">
        <v>64</v>
      </c>
      <c r="E47">
        <v>1.5</v>
      </c>
      <c r="F47"/>
      <c r="H47" s="4"/>
    </row>
    <row r="48" spans="2:8" x14ac:dyDescent="0.25">
      <c r="B48"/>
      <c r="C48" s="1" t="s">
        <v>51</v>
      </c>
      <c r="D48" s="6" t="s">
        <v>63</v>
      </c>
      <c r="E48">
        <v>1</v>
      </c>
      <c r="F48"/>
      <c r="H48" s="4"/>
    </row>
    <row r="49" spans="2:8" x14ac:dyDescent="0.25">
      <c r="B49"/>
      <c r="C49" s="1" t="s">
        <v>52</v>
      </c>
      <c r="D49" s="6" t="s">
        <v>62</v>
      </c>
      <c r="E49">
        <v>2</v>
      </c>
      <c r="F49"/>
      <c r="H49" s="4"/>
    </row>
    <row r="50" spans="2:8" x14ac:dyDescent="0.25">
      <c r="B50"/>
      <c r="C50" s="1" t="s">
        <v>7</v>
      </c>
      <c r="D50" s="6" t="s">
        <v>68</v>
      </c>
      <c r="E50">
        <v>1.25</v>
      </c>
      <c r="F50"/>
      <c r="H50" s="4"/>
    </row>
    <row r="51" spans="2:8" x14ac:dyDescent="0.25">
      <c r="B51"/>
      <c r="C51" s="1" t="s">
        <v>53</v>
      </c>
      <c r="D51" s="6" t="s">
        <v>64</v>
      </c>
      <c r="E51">
        <v>1.5</v>
      </c>
      <c r="F51"/>
      <c r="H51" s="4"/>
    </row>
    <row r="52" spans="2:8" x14ac:dyDescent="0.25">
      <c r="B52"/>
      <c r="C52" s="1" t="s">
        <v>54</v>
      </c>
      <c r="D52" s="6" t="s">
        <v>68</v>
      </c>
      <c r="E52">
        <v>1.25</v>
      </c>
      <c r="F52"/>
      <c r="H52" s="4"/>
    </row>
    <row r="53" spans="2:8" x14ac:dyDescent="0.25">
      <c r="B53"/>
      <c r="C53" s="1" t="s">
        <v>51</v>
      </c>
      <c r="D53" s="6" t="s">
        <v>62</v>
      </c>
      <c r="E53">
        <v>2</v>
      </c>
      <c r="F53"/>
      <c r="H53" s="4"/>
    </row>
    <row r="54" spans="2:8" x14ac:dyDescent="0.25">
      <c r="B54"/>
      <c r="C54" s="1" t="s">
        <v>52</v>
      </c>
      <c r="D54" s="6" t="s">
        <v>62</v>
      </c>
      <c r="E54">
        <v>2</v>
      </c>
      <c r="F54"/>
      <c r="H54" s="4"/>
    </row>
    <row r="55" spans="2:8" x14ac:dyDescent="0.25">
      <c r="B55"/>
      <c r="C55" s="1" t="s">
        <v>7</v>
      </c>
      <c r="D55" s="6" t="s">
        <v>70</v>
      </c>
      <c r="E55">
        <v>15</v>
      </c>
      <c r="F55"/>
      <c r="H55" s="4"/>
    </row>
    <row r="56" spans="2:8" x14ac:dyDescent="0.25">
      <c r="B56"/>
      <c r="C56" s="1" t="s">
        <v>53</v>
      </c>
      <c r="D56" s="6" t="s">
        <v>62</v>
      </c>
      <c r="E56">
        <v>2</v>
      </c>
      <c r="F56"/>
      <c r="H56" s="4"/>
    </row>
    <row r="57" spans="2:8" x14ac:dyDescent="0.25">
      <c r="B57"/>
      <c r="C57" s="1" t="s">
        <v>54</v>
      </c>
      <c r="D57" s="6" t="s">
        <v>71</v>
      </c>
      <c r="E57">
        <v>2.5</v>
      </c>
      <c r="F57"/>
      <c r="H57" s="4"/>
    </row>
    <row r="58" spans="2:8" x14ac:dyDescent="0.25">
      <c r="B58"/>
      <c r="C58" s="1" t="s">
        <v>51</v>
      </c>
      <c r="D58" s="6" t="s">
        <v>70</v>
      </c>
      <c r="E58">
        <v>15</v>
      </c>
      <c r="F58"/>
      <c r="H58" s="4"/>
    </row>
    <row r="59" spans="2:8" x14ac:dyDescent="0.25">
      <c r="B59"/>
      <c r="C59" s="1" t="s">
        <v>52</v>
      </c>
      <c r="D59" s="6" t="s">
        <v>70</v>
      </c>
      <c r="E59">
        <v>15</v>
      </c>
      <c r="F59"/>
      <c r="H59" s="4"/>
    </row>
    <row r="60" spans="2:8" x14ac:dyDescent="0.25">
      <c r="B60"/>
      <c r="C60" s="1" t="s">
        <v>7</v>
      </c>
      <c r="D60" s="6" t="s">
        <v>62</v>
      </c>
      <c r="E60">
        <v>2</v>
      </c>
      <c r="F60"/>
      <c r="H60" s="4"/>
    </row>
    <row r="61" spans="2:8" x14ac:dyDescent="0.25">
      <c r="B61"/>
      <c r="C61" s="1" t="s">
        <v>53</v>
      </c>
      <c r="D61" s="6" t="s">
        <v>65</v>
      </c>
      <c r="E61">
        <v>2</v>
      </c>
      <c r="F61"/>
      <c r="H61" s="4"/>
    </row>
    <row r="62" spans="2:8" x14ac:dyDescent="0.25">
      <c r="B62"/>
      <c r="C62" s="1" t="s">
        <v>54</v>
      </c>
      <c r="D62" s="6" t="s">
        <v>63</v>
      </c>
      <c r="E62">
        <v>1</v>
      </c>
      <c r="F62"/>
      <c r="H62" s="4"/>
    </row>
    <row r="63" spans="2:8" x14ac:dyDescent="0.25">
      <c r="B63"/>
      <c r="C63" s="1" t="s">
        <v>51</v>
      </c>
      <c r="D63" s="6" t="s">
        <v>64</v>
      </c>
      <c r="E63">
        <v>1.5</v>
      </c>
      <c r="F63"/>
      <c r="H63" s="4"/>
    </row>
    <row r="64" spans="2:8" x14ac:dyDescent="0.25">
      <c r="B64"/>
      <c r="C64" s="1" t="s">
        <v>52</v>
      </c>
      <c r="D64" s="6" t="s">
        <v>67</v>
      </c>
      <c r="E64">
        <v>3</v>
      </c>
      <c r="F64"/>
      <c r="H64" s="4"/>
    </row>
    <row r="65" spans="2:8" x14ac:dyDescent="0.25">
      <c r="B65"/>
      <c r="C65" s="1" t="s">
        <v>7</v>
      </c>
      <c r="D65" s="6" t="s">
        <v>69</v>
      </c>
      <c r="E65">
        <v>1</v>
      </c>
      <c r="F65"/>
      <c r="H65" s="4"/>
    </row>
    <row r="66" spans="2:8" x14ac:dyDescent="0.25">
      <c r="B66"/>
      <c r="C66" s="1" t="s">
        <v>53</v>
      </c>
      <c r="D66" s="6" t="s">
        <v>67</v>
      </c>
      <c r="E66">
        <v>3</v>
      </c>
      <c r="F66"/>
      <c r="H66" s="4"/>
    </row>
    <row r="67" spans="2:8" x14ac:dyDescent="0.25">
      <c r="B67"/>
      <c r="C67" s="1" t="s">
        <v>54</v>
      </c>
      <c r="D67" s="6" t="s">
        <v>66</v>
      </c>
      <c r="E67">
        <v>2.2999999999999998</v>
      </c>
      <c r="F67"/>
      <c r="H67" s="4"/>
    </row>
    <row r="68" spans="2:8" x14ac:dyDescent="0.25">
      <c r="B68"/>
      <c r="C68" s="1" t="s">
        <v>51</v>
      </c>
      <c r="D68" s="6" t="s">
        <v>64</v>
      </c>
      <c r="E68">
        <v>1.5</v>
      </c>
      <c r="F68"/>
      <c r="H68" s="4"/>
    </row>
    <row r="69" spans="2:8" x14ac:dyDescent="0.25">
      <c r="B69"/>
      <c r="C69" s="1" t="s">
        <v>52</v>
      </c>
      <c r="D69" s="6" t="s">
        <v>62</v>
      </c>
      <c r="E69">
        <v>2</v>
      </c>
      <c r="F69"/>
      <c r="H69" s="4"/>
    </row>
    <row r="70" spans="2:8" x14ac:dyDescent="0.25">
      <c r="B70"/>
      <c r="C70" s="1" t="s">
        <v>7</v>
      </c>
      <c r="D70" s="6" t="s">
        <v>69</v>
      </c>
      <c r="E70">
        <v>1</v>
      </c>
      <c r="F70"/>
      <c r="H70" s="4"/>
    </row>
    <row r="71" spans="2:8" x14ac:dyDescent="0.25">
      <c r="B71"/>
      <c r="C71" s="1" t="s">
        <v>53</v>
      </c>
      <c r="D71" s="6" t="s">
        <v>62</v>
      </c>
      <c r="E71">
        <v>2</v>
      </c>
      <c r="F71"/>
      <c r="H71" s="4"/>
    </row>
    <row r="72" spans="2:8" x14ac:dyDescent="0.25">
      <c r="B72"/>
      <c r="C72" s="1" t="s">
        <v>54</v>
      </c>
      <c r="D72" s="6" t="s">
        <v>70</v>
      </c>
      <c r="E72">
        <v>15</v>
      </c>
      <c r="F72"/>
      <c r="H72" s="4"/>
    </row>
    <row r="73" spans="2:8" x14ac:dyDescent="0.25">
      <c r="B73"/>
      <c r="C73" s="1" t="s">
        <v>51</v>
      </c>
      <c r="D73" s="6" t="s">
        <v>62</v>
      </c>
      <c r="E73">
        <v>2</v>
      </c>
      <c r="F73"/>
      <c r="H73" s="4"/>
    </row>
    <row r="74" spans="2:8" x14ac:dyDescent="0.25">
      <c r="B74"/>
      <c r="C74" s="1" t="s">
        <v>52</v>
      </c>
      <c r="D74" s="6" t="s">
        <v>62</v>
      </c>
      <c r="E74">
        <v>2</v>
      </c>
      <c r="F74"/>
      <c r="H74" s="4"/>
    </row>
    <row r="75" spans="2:8" x14ac:dyDescent="0.25">
      <c r="B75"/>
      <c r="C75" s="1" t="s">
        <v>7</v>
      </c>
      <c r="D75" s="6" t="s">
        <v>66</v>
      </c>
      <c r="E75">
        <v>2.2999999999999998</v>
      </c>
      <c r="F75"/>
      <c r="H75" s="4"/>
    </row>
    <row r="76" spans="2:8" x14ac:dyDescent="0.25">
      <c r="B76"/>
      <c r="C76" s="1" t="s">
        <v>53</v>
      </c>
      <c r="D76" s="6" t="s">
        <v>66</v>
      </c>
      <c r="E76">
        <v>2.2999999999999998</v>
      </c>
      <c r="F76"/>
      <c r="H76" s="4"/>
    </row>
    <row r="77" spans="2:8" x14ac:dyDescent="0.25">
      <c r="B77"/>
      <c r="C77" s="1" t="s">
        <v>54</v>
      </c>
      <c r="D77" s="6" t="s">
        <v>71</v>
      </c>
      <c r="E77">
        <v>2.5</v>
      </c>
      <c r="F77"/>
      <c r="H77" s="4"/>
    </row>
    <row r="78" spans="2:8" x14ac:dyDescent="0.25">
      <c r="B78"/>
      <c r="C78" s="1" t="s">
        <v>51</v>
      </c>
      <c r="D78" s="6" t="s">
        <v>64</v>
      </c>
      <c r="E78">
        <v>1.5</v>
      </c>
      <c r="F78"/>
      <c r="H78" s="4"/>
    </row>
    <row r="79" spans="2:8" x14ac:dyDescent="0.25">
      <c r="B79"/>
      <c r="C79" s="1" t="s">
        <v>52</v>
      </c>
      <c r="D79" s="6" t="s">
        <v>62</v>
      </c>
      <c r="E79">
        <v>2</v>
      </c>
      <c r="F79"/>
      <c r="H79" s="4"/>
    </row>
    <row r="80" spans="2:8" x14ac:dyDescent="0.25">
      <c r="B80"/>
      <c r="C80" s="1" t="s">
        <v>7</v>
      </c>
      <c r="D80" s="6" t="s">
        <v>68</v>
      </c>
      <c r="E80">
        <v>1.25</v>
      </c>
      <c r="F80"/>
      <c r="H80" s="4"/>
    </row>
    <row r="81" spans="2:8" x14ac:dyDescent="0.25">
      <c r="B81"/>
      <c r="C81" s="1" t="s">
        <v>53</v>
      </c>
      <c r="D81" s="6" t="s">
        <v>66</v>
      </c>
      <c r="E81">
        <v>2.2999999999999998</v>
      </c>
      <c r="F81"/>
      <c r="H81" s="4"/>
    </row>
    <row r="82" spans="2:8" x14ac:dyDescent="0.25">
      <c r="B82"/>
      <c r="C82" s="1" t="s">
        <v>54</v>
      </c>
      <c r="D82" s="6" t="s">
        <v>62</v>
      </c>
      <c r="E82">
        <v>2</v>
      </c>
      <c r="F82"/>
      <c r="H82" s="4"/>
    </row>
    <row r="83" spans="2:8" x14ac:dyDescent="0.25">
      <c r="B83"/>
      <c r="C83" s="1" t="s">
        <v>51</v>
      </c>
      <c r="D83" s="6" t="s">
        <v>64</v>
      </c>
      <c r="E83">
        <v>1.5</v>
      </c>
      <c r="F83"/>
      <c r="H83" s="4"/>
    </row>
    <row r="84" spans="2:8" x14ac:dyDescent="0.25">
      <c r="B84"/>
      <c r="C84" s="1" t="s">
        <v>52</v>
      </c>
      <c r="D84" s="6" t="s">
        <v>72</v>
      </c>
      <c r="E84">
        <v>0.5</v>
      </c>
      <c r="F84"/>
      <c r="H84" s="4"/>
    </row>
    <row r="85" spans="2:8" x14ac:dyDescent="0.25">
      <c r="B85"/>
      <c r="C85" s="1" t="s">
        <v>7</v>
      </c>
      <c r="D85" s="6" t="s">
        <v>69</v>
      </c>
      <c r="E85">
        <v>1</v>
      </c>
      <c r="F85"/>
      <c r="H85" s="4"/>
    </row>
    <row r="86" spans="2:8" x14ac:dyDescent="0.25">
      <c r="B86"/>
      <c r="C86" s="1" t="s">
        <v>53</v>
      </c>
      <c r="D86" s="6" t="s">
        <v>66</v>
      </c>
      <c r="E86">
        <v>2.2999999999999998</v>
      </c>
      <c r="F86"/>
      <c r="H86" s="4"/>
    </row>
    <row r="87" spans="2:8" x14ac:dyDescent="0.25">
      <c r="B87"/>
      <c r="C87" s="1" t="s">
        <v>54</v>
      </c>
      <c r="D87" s="6" t="s">
        <v>64</v>
      </c>
      <c r="E87">
        <v>1.5</v>
      </c>
      <c r="F87"/>
      <c r="H87" s="4"/>
    </row>
    <row r="88" spans="2:8" x14ac:dyDescent="0.25">
      <c r="B88"/>
      <c r="C88" s="1" t="s">
        <v>51</v>
      </c>
      <c r="D88" s="6" t="s">
        <v>64</v>
      </c>
      <c r="E88">
        <v>1.5</v>
      </c>
      <c r="F88"/>
      <c r="H88" s="4"/>
    </row>
    <row r="89" spans="2:8" x14ac:dyDescent="0.25">
      <c r="B89"/>
      <c r="C89" s="1" t="s">
        <v>52</v>
      </c>
      <c r="D89" s="6" t="s">
        <v>62</v>
      </c>
      <c r="E89">
        <v>2</v>
      </c>
      <c r="F89"/>
      <c r="H89" s="4"/>
    </row>
    <row r="90" spans="2:8" x14ac:dyDescent="0.25">
      <c r="B90"/>
      <c r="C90" s="1" t="s">
        <v>7</v>
      </c>
      <c r="D90" s="6" t="s">
        <v>64</v>
      </c>
      <c r="E90">
        <v>1.5</v>
      </c>
      <c r="F90"/>
      <c r="H90" s="4"/>
    </row>
    <row r="91" spans="2:8" x14ac:dyDescent="0.25">
      <c r="B91"/>
      <c r="C91" s="1" t="s">
        <v>53</v>
      </c>
      <c r="D91" s="6" t="s">
        <v>66</v>
      </c>
      <c r="E91">
        <v>2.2999999999999998</v>
      </c>
      <c r="F91"/>
      <c r="H91" s="4"/>
    </row>
    <row r="92" spans="2:8" x14ac:dyDescent="0.25">
      <c r="B92"/>
      <c r="C92" s="1" t="s">
        <v>54</v>
      </c>
      <c r="D92" s="6" t="s">
        <v>62</v>
      </c>
      <c r="E92">
        <v>2</v>
      </c>
      <c r="F92"/>
      <c r="H92" s="4"/>
    </row>
    <row r="93" spans="2:8" x14ac:dyDescent="0.25">
      <c r="B93"/>
      <c r="C93" s="1" t="s">
        <v>51</v>
      </c>
      <c r="D93" s="6" t="s">
        <v>62</v>
      </c>
      <c r="E93">
        <v>2</v>
      </c>
      <c r="F93"/>
      <c r="H93" s="4"/>
    </row>
    <row r="94" spans="2:8" x14ac:dyDescent="0.25">
      <c r="B94"/>
      <c r="C94" s="1" t="s">
        <v>52</v>
      </c>
      <c r="D94" s="6" t="s">
        <v>62</v>
      </c>
      <c r="E94">
        <v>2</v>
      </c>
      <c r="F94"/>
      <c r="H94" s="4"/>
    </row>
    <row r="95" spans="2:8" x14ac:dyDescent="0.25">
      <c r="B95"/>
      <c r="C95" s="1" t="s">
        <v>7</v>
      </c>
      <c r="D95" s="6" t="s">
        <v>62</v>
      </c>
      <c r="E95">
        <v>2</v>
      </c>
      <c r="F95"/>
      <c r="H95" s="4"/>
    </row>
    <row r="96" spans="2:8" x14ac:dyDescent="0.25">
      <c r="B96"/>
      <c r="C96" s="1" t="s">
        <v>53</v>
      </c>
      <c r="D96" s="6" t="s">
        <v>73</v>
      </c>
      <c r="E96">
        <v>0.5</v>
      </c>
      <c r="F96"/>
      <c r="H96" s="4"/>
    </row>
    <row r="97" spans="2:8" x14ac:dyDescent="0.25">
      <c r="B97"/>
      <c r="C97" s="1" t="s">
        <v>54</v>
      </c>
      <c r="D97" s="6" t="s">
        <v>62</v>
      </c>
      <c r="E97">
        <v>2</v>
      </c>
      <c r="F97"/>
      <c r="H97" s="4"/>
    </row>
    <row r="98" spans="2:8" x14ac:dyDescent="0.25">
      <c r="B98"/>
      <c r="C98" s="1" t="s">
        <v>51</v>
      </c>
      <c r="D98" s="6" t="s">
        <v>64</v>
      </c>
      <c r="E98">
        <v>1.5</v>
      </c>
      <c r="F98"/>
      <c r="H98" s="4"/>
    </row>
    <row r="99" spans="2:8" x14ac:dyDescent="0.25">
      <c r="B99"/>
      <c r="C99" s="1" t="s">
        <v>52</v>
      </c>
      <c r="D99" s="6" t="s">
        <v>62</v>
      </c>
      <c r="E99">
        <v>2</v>
      </c>
      <c r="F99"/>
      <c r="H99" s="4"/>
    </row>
    <row r="100" spans="2:8" x14ac:dyDescent="0.25">
      <c r="B100"/>
      <c r="C100" s="1" t="s">
        <v>7</v>
      </c>
      <c r="D100" s="6" t="s">
        <v>64</v>
      </c>
      <c r="E100">
        <v>1.5</v>
      </c>
      <c r="F100"/>
      <c r="H100" s="4"/>
    </row>
    <row r="101" spans="2:8" x14ac:dyDescent="0.25">
      <c r="B101"/>
      <c r="C101" s="1" t="s">
        <v>53</v>
      </c>
      <c r="D101" s="6" t="s">
        <v>64</v>
      </c>
      <c r="E101">
        <v>1.5</v>
      </c>
      <c r="F101"/>
      <c r="H101" s="4"/>
    </row>
    <row r="102" spans="2:8" x14ac:dyDescent="0.25">
      <c r="B102"/>
      <c r="C102" s="1" t="s">
        <v>54</v>
      </c>
      <c r="D102" s="6" t="s">
        <v>62</v>
      </c>
      <c r="E102">
        <v>2</v>
      </c>
      <c r="F102"/>
      <c r="H102" s="4"/>
    </row>
    <row r="103" spans="2:8" x14ac:dyDescent="0.25">
      <c r="B103"/>
      <c r="C103" s="1" t="s">
        <v>51</v>
      </c>
      <c r="D103" s="6" t="s">
        <v>62</v>
      </c>
      <c r="E103">
        <v>2</v>
      </c>
      <c r="F103"/>
      <c r="H103" s="4"/>
    </row>
    <row r="104" spans="2:8" x14ac:dyDescent="0.25">
      <c r="B104"/>
      <c r="C104" s="1" t="s">
        <v>52</v>
      </c>
      <c r="D104" s="6" t="s">
        <v>63</v>
      </c>
      <c r="E104">
        <v>1</v>
      </c>
      <c r="F104"/>
      <c r="H104" s="4"/>
    </row>
    <row r="105" spans="2:8" x14ac:dyDescent="0.25">
      <c r="B105"/>
      <c r="C105" s="1" t="s">
        <v>7</v>
      </c>
      <c r="D105" s="6" t="s">
        <v>72</v>
      </c>
      <c r="E105">
        <v>0.5</v>
      </c>
      <c r="F105"/>
      <c r="H105" s="4"/>
    </row>
    <row r="106" spans="2:8" x14ac:dyDescent="0.25">
      <c r="B106"/>
      <c r="C106" s="1" t="s">
        <v>53</v>
      </c>
      <c r="D106" s="6" t="s">
        <v>65</v>
      </c>
      <c r="E106">
        <v>2</v>
      </c>
      <c r="F106"/>
      <c r="H106" s="4"/>
    </row>
    <row r="107" spans="2:8" x14ac:dyDescent="0.25">
      <c r="B107"/>
      <c r="C107" s="1" t="s">
        <v>54</v>
      </c>
      <c r="D107" s="6" t="s">
        <v>65</v>
      </c>
      <c r="E107">
        <v>2</v>
      </c>
      <c r="F107"/>
      <c r="H107" s="4"/>
    </row>
    <row r="108" spans="2:8" x14ac:dyDescent="0.25">
      <c r="B108"/>
      <c r="C108" s="1" t="s">
        <v>51</v>
      </c>
      <c r="D108" s="6" t="s">
        <v>69</v>
      </c>
      <c r="E108">
        <v>1</v>
      </c>
      <c r="F108"/>
      <c r="H108" s="4"/>
    </row>
    <row r="109" spans="2:8" x14ac:dyDescent="0.25">
      <c r="B109"/>
      <c r="C109" s="1" t="s">
        <v>52</v>
      </c>
      <c r="D109" s="6" t="s">
        <v>69</v>
      </c>
      <c r="E109">
        <v>1</v>
      </c>
      <c r="F109"/>
      <c r="H109" s="4"/>
    </row>
    <row r="110" spans="2:8" x14ac:dyDescent="0.25">
      <c r="B110"/>
      <c r="C110" s="1" t="s">
        <v>7</v>
      </c>
      <c r="D110" s="6" t="s">
        <v>69</v>
      </c>
      <c r="E110">
        <v>1</v>
      </c>
      <c r="F110"/>
      <c r="H110" s="4"/>
    </row>
    <row r="111" spans="2:8" x14ac:dyDescent="0.25">
      <c r="B111"/>
      <c r="C111" s="1" t="s">
        <v>53</v>
      </c>
      <c r="D111" s="6" t="s">
        <v>65</v>
      </c>
      <c r="E111">
        <v>2</v>
      </c>
      <c r="F111"/>
      <c r="H111" s="4"/>
    </row>
    <row r="112" spans="2:8" x14ac:dyDescent="0.25">
      <c r="B112"/>
      <c r="C112" s="1" t="s">
        <v>54</v>
      </c>
      <c r="D112" s="6" t="s">
        <v>66</v>
      </c>
      <c r="E112">
        <v>2.2999999999999998</v>
      </c>
      <c r="F112"/>
      <c r="H112" s="4"/>
    </row>
    <row r="113" spans="2:8" x14ac:dyDescent="0.25">
      <c r="B113"/>
      <c r="C113" s="1" t="s">
        <v>51</v>
      </c>
      <c r="D113" s="6" t="s">
        <v>69</v>
      </c>
      <c r="E113">
        <v>1</v>
      </c>
      <c r="F113"/>
      <c r="H113" s="4"/>
    </row>
    <row r="114" spans="2:8" x14ac:dyDescent="0.25">
      <c r="B114"/>
      <c r="C114" s="1" t="s">
        <v>52</v>
      </c>
      <c r="D114" s="6" t="s">
        <v>64</v>
      </c>
      <c r="E114">
        <v>1.5</v>
      </c>
      <c r="F114"/>
      <c r="H114" s="4"/>
    </row>
    <row r="115" spans="2:8" x14ac:dyDescent="0.25">
      <c r="B115"/>
      <c r="C115" s="1" t="s">
        <v>7</v>
      </c>
      <c r="D115" s="6" t="s">
        <v>62</v>
      </c>
      <c r="E115">
        <v>2</v>
      </c>
      <c r="F115"/>
      <c r="H115" s="4"/>
    </row>
    <row r="116" spans="2:8" x14ac:dyDescent="0.25">
      <c r="B116"/>
      <c r="C116" s="1" t="s">
        <v>53</v>
      </c>
      <c r="D116" s="6" t="s">
        <v>62</v>
      </c>
      <c r="E116">
        <v>2</v>
      </c>
      <c r="F116"/>
      <c r="H116" s="4"/>
    </row>
    <row r="117" spans="2:8" x14ac:dyDescent="0.25">
      <c r="B117"/>
      <c r="C117" s="1" t="s">
        <v>54</v>
      </c>
      <c r="D117" s="6" t="s">
        <v>62</v>
      </c>
      <c r="E117">
        <v>2</v>
      </c>
      <c r="F117"/>
      <c r="H117" s="4"/>
    </row>
    <row r="118" spans="2:8" x14ac:dyDescent="0.25">
      <c r="B118"/>
      <c r="C118" s="1" t="s">
        <v>51</v>
      </c>
      <c r="D118" s="6" t="s">
        <v>67</v>
      </c>
      <c r="E118">
        <v>3</v>
      </c>
      <c r="F118"/>
      <c r="H118" s="4"/>
    </row>
    <row r="119" spans="2:8" x14ac:dyDescent="0.25">
      <c r="B119"/>
      <c r="C119" s="1" t="s">
        <v>52</v>
      </c>
      <c r="D119" s="6" t="s">
        <v>62</v>
      </c>
      <c r="E119">
        <v>2</v>
      </c>
      <c r="F119"/>
      <c r="H119" s="4"/>
    </row>
    <row r="120" spans="2:8" x14ac:dyDescent="0.25">
      <c r="B120"/>
      <c r="C120" s="1" t="s">
        <v>7</v>
      </c>
      <c r="D120" s="6" t="s">
        <v>62</v>
      </c>
      <c r="E120">
        <v>2</v>
      </c>
      <c r="F120"/>
      <c r="H120" s="4"/>
    </row>
    <row r="121" spans="2:8" x14ac:dyDescent="0.25">
      <c r="B121"/>
      <c r="C121" s="1" t="s">
        <v>53</v>
      </c>
      <c r="D121" s="6" t="s">
        <v>62</v>
      </c>
      <c r="E121">
        <v>2</v>
      </c>
      <c r="F121"/>
      <c r="H121" s="4"/>
    </row>
    <row r="122" spans="2:8" x14ac:dyDescent="0.25">
      <c r="B122"/>
      <c r="C122" s="1" t="s">
        <v>54</v>
      </c>
      <c r="D122" s="6" t="s">
        <v>62</v>
      </c>
      <c r="E122">
        <v>2</v>
      </c>
      <c r="F122"/>
      <c r="H122" s="4"/>
    </row>
    <row r="123" spans="2:8" x14ac:dyDescent="0.25">
      <c r="B123"/>
      <c r="C123" s="1" t="s">
        <v>51</v>
      </c>
      <c r="D123" s="6" t="s">
        <v>62</v>
      </c>
      <c r="E123">
        <v>2</v>
      </c>
      <c r="F123"/>
      <c r="H123" s="4"/>
    </row>
    <row r="124" spans="2:8" x14ac:dyDescent="0.25">
      <c r="B124"/>
      <c r="C124" s="1" t="s">
        <v>52</v>
      </c>
      <c r="D124" s="6" t="s">
        <v>62</v>
      </c>
      <c r="E124">
        <v>2</v>
      </c>
      <c r="F124"/>
      <c r="H124" s="4"/>
    </row>
    <row r="125" spans="2:8" x14ac:dyDescent="0.25">
      <c r="B125"/>
      <c r="C125" s="1" t="s">
        <v>7</v>
      </c>
      <c r="D125" s="6" t="s">
        <v>62</v>
      </c>
      <c r="E125">
        <v>2</v>
      </c>
      <c r="F125"/>
      <c r="H125" s="4"/>
    </row>
    <row r="126" spans="2:8" x14ac:dyDescent="0.25">
      <c r="B126"/>
      <c r="C126" s="1" t="s">
        <v>53</v>
      </c>
      <c r="D126" s="6" t="s">
        <v>69</v>
      </c>
      <c r="E126">
        <v>1</v>
      </c>
      <c r="F126"/>
      <c r="H126" s="4"/>
    </row>
    <row r="127" spans="2:8" x14ac:dyDescent="0.25">
      <c r="B127"/>
      <c r="C127" s="1" t="s">
        <v>54</v>
      </c>
      <c r="D127" s="6" t="s">
        <v>64</v>
      </c>
      <c r="E127">
        <v>1.5</v>
      </c>
      <c r="F127"/>
      <c r="H127" s="4"/>
    </row>
    <row r="128" spans="2:8" x14ac:dyDescent="0.25">
      <c r="B128"/>
      <c r="C128" s="1" t="s">
        <v>51</v>
      </c>
      <c r="D128" s="6" t="s">
        <v>62</v>
      </c>
      <c r="E128">
        <v>2</v>
      </c>
      <c r="F128"/>
      <c r="H128" s="4"/>
    </row>
    <row r="129" spans="2:8" x14ac:dyDescent="0.25">
      <c r="B129"/>
      <c r="C129" s="1" t="s">
        <v>52</v>
      </c>
      <c r="D129" s="6" t="s">
        <v>68</v>
      </c>
      <c r="E129">
        <v>1.25</v>
      </c>
      <c r="F129"/>
      <c r="H129" s="4"/>
    </row>
    <row r="130" spans="2:8" x14ac:dyDescent="0.25">
      <c r="B130"/>
      <c r="C130" s="1" t="s">
        <v>7</v>
      </c>
      <c r="D130" s="6" t="s">
        <v>62</v>
      </c>
      <c r="E130">
        <v>2</v>
      </c>
      <c r="F130"/>
      <c r="H130" s="4"/>
    </row>
    <row r="131" spans="2:8" x14ac:dyDescent="0.25">
      <c r="B131"/>
      <c r="C131" s="1" t="s">
        <v>53</v>
      </c>
      <c r="D131" s="6" t="s">
        <v>64</v>
      </c>
      <c r="E131">
        <v>1.5</v>
      </c>
      <c r="F131"/>
      <c r="H131" s="4"/>
    </row>
    <row r="132" spans="2:8" x14ac:dyDescent="0.25">
      <c r="B132"/>
      <c r="C132" s="1" t="s">
        <v>54</v>
      </c>
      <c r="D132" s="6" t="s">
        <v>62</v>
      </c>
      <c r="E132">
        <v>2</v>
      </c>
      <c r="F132"/>
      <c r="H132" s="4"/>
    </row>
    <row r="133" spans="2:8" x14ac:dyDescent="0.25">
      <c r="B133"/>
      <c r="C133" s="1" t="s">
        <v>51</v>
      </c>
      <c r="D133" s="6" t="s">
        <v>69</v>
      </c>
      <c r="E133">
        <v>1</v>
      </c>
      <c r="F133"/>
      <c r="H133" s="4"/>
    </row>
    <row r="134" spans="2:8" x14ac:dyDescent="0.25">
      <c r="B134"/>
      <c r="C134" s="1" t="s">
        <v>52</v>
      </c>
      <c r="D134" s="6" t="s">
        <v>62</v>
      </c>
      <c r="E134">
        <v>2</v>
      </c>
      <c r="F134"/>
      <c r="H134" s="4"/>
    </row>
    <row r="135" spans="2:8" x14ac:dyDescent="0.25">
      <c r="B135"/>
      <c r="C135" s="1" t="s">
        <v>7</v>
      </c>
      <c r="D135" s="6" t="s">
        <v>71</v>
      </c>
      <c r="E135">
        <v>2.5</v>
      </c>
      <c r="F135"/>
      <c r="H135" s="4"/>
    </row>
    <row r="136" spans="2:8" x14ac:dyDescent="0.25">
      <c r="B136"/>
      <c r="C136" s="1" t="s">
        <v>53</v>
      </c>
      <c r="D136" s="6" t="s">
        <v>62</v>
      </c>
      <c r="E136">
        <v>2</v>
      </c>
      <c r="F136"/>
      <c r="H136" s="4"/>
    </row>
    <row r="137" spans="2:8" x14ac:dyDescent="0.25">
      <c r="B137"/>
      <c r="C137" s="1" t="s">
        <v>54</v>
      </c>
      <c r="D137" s="6" t="s">
        <v>62</v>
      </c>
      <c r="E137">
        <v>2</v>
      </c>
      <c r="F137"/>
      <c r="H137" s="4"/>
    </row>
    <row r="138" spans="2:8" x14ac:dyDescent="0.25">
      <c r="B138"/>
      <c r="C138" s="1" t="s">
        <v>51</v>
      </c>
      <c r="D138" s="6" t="s">
        <v>62</v>
      </c>
      <c r="E138">
        <v>2</v>
      </c>
      <c r="F138"/>
      <c r="H138" s="4"/>
    </row>
    <row r="139" spans="2:8" x14ac:dyDescent="0.25">
      <c r="B139"/>
      <c r="C139" s="1" t="s">
        <v>52</v>
      </c>
      <c r="D139" s="6" t="s">
        <v>64</v>
      </c>
      <c r="E139">
        <v>1.5</v>
      </c>
      <c r="F139"/>
      <c r="H139" s="4"/>
    </row>
    <row r="140" spans="2:8" x14ac:dyDescent="0.25">
      <c r="B140"/>
      <c r="C140" s="1" t="s">
        <v>7</v>
      </c>
      <c r="D140" s="6" t="s">
        <v>66</v>
      </c>
      <c r="E140">
        <v>2.2999999999999998</v>
      </c>
      <c r="F140"/>
      <c r="H140" s="4"/>
    </row>
    <row r="141" spans="2:8" x14ac:dyDescent="0.25">
      <c r="B141"/>
      <c r="C141" s="1" t="s">
        <v>53</v>
      </c>
      <c r="D141" s="6" t="s">
        <v>74</v>
      </c>
      <c r="E141">
        <v>4</v>
      </c>
      <c r="F141"/>
      <c r="H141" s="4"/>
    </row>
    <row r="142" spans="2:8" x14ac:dyDescent="0.25">
      <c r="B142"/>
      <c r="C142" s="1" t="s">
        <v>54</v>
      </c>
      <c r="D142" s="6" t="s">
        <v>69</v>
      </c>
      <c r="E142">
        <v>1</v>
      </c>
      <c r="F142"/>
      <c r="H142" s="4"/>
    </row>
    <row r="143" spans="2:8" x14ac:dyDescent="0.25">
      <c r="B143"/>
      <c r="C143" s="1" t="s">
        <v>51</v>
      </c>
      <c r="D143" s="6" t="s">
        <v>62</v>
      </c>
      <c r="E143">
        <v>2</v>
      </c>
      <c r="F143"/>
      <c r="H143" s="4"/>
    </row>
    <row r="144" spans="2:8" x14ac:dyDescent="0.25">
      <c r="B144"/>
      <c r="C144" s="1" t="s">
        <v>52</v>
      </c>
      <c r="D144" s="6" t="s">
        <v>62</v>
      </c>
      <c r="E144">
        <v>2</v>
      </c>
      <c r="F144"/>
      <c r="H144" s="4"/>
    </row>
    <row r="145" spans="2:8" x14ac:dyDescent="0.25">
      <c r="B145"/>
      <c r="C145" s="1" t="s">
        <v>7</v>
      </c>
      <c r="D145" s="6" t="s">
        <v>62</v>
      </c>
      <c r="E145">
        <v>2</v>
      </c>
      <c r="F145"/>
      <c r="H145" s="4"/>
    </row>
    <row r="146" spans="2:8" x14ac:dyDescent="0.25">
      <c r="B146"/>
      <c r="C146" s="1" t="s">
        <v>53</v>
      </c>
      <c r="D146" s="6" t="s">
        <v>66</v>
      </c>
      <c r="E146">
        <v>2.2999999999999998</v>
      </c>
      <c r="F146"/>
      <c r="H146" s="4"/>
    </row>
    <row r="147" spans="2:8" x14ac:dyDescent="0.25">
      <c r="B147"/>
      <c r="C147" s="1" t="s">
        <v>54</v>
      </c>
      <c r="D147" s="6" t="s">
        <v>62</v>
      </c>
      <c r="E147">
        <v>2</v>
      </c>
      <c r="F147"/>
      <c r="H147" s="4"/>
    </row>
    <row r="148" spans="2:8" x14ac:dyDescent="0.25">
      <c r="B148"/>
      <c r="C148" s="1" t="s">
        <v>51</v>
      </c>
      <c r="D148" s="6" t="s">
        <v>62</v>
      </c>
      <c r="E148">
        <v>2</v>
      </c>
      <c r="F148"/>
      <c r="H148" s="4"/>
    </row>
    <row r="149" spans="2:8" x14ac:dyDescent="0.25">
      <c r="B149"/>
      <c r="C149" s="1" t="s">
        <v>52</v>
      </c>
      <c r="D149" s="6" t="s">
        <v>64</v>
      </c>
      <c r="E149">
        <v>1.5</v>
      </c>
      <c r="F149"/>
      <c r="H149" s="4"/>
    </row>
    <row r="150" spans="2:8" x14ac:dyDescent="0.25">
      <c r="B150"/>
      <c r="C150" s="1" t="s">
        <v>7</v>
      </c>
      <c r="D150" s="6" t="s">
        <v>64</v>
      </c>
      <c r="E150">
        <v>1.5</v>
      </c>
      <c r="F150"/>
      <c r="H150" s="4"/>
    </row>
    <row r="151" spans="2:8" x14ac:dyDescent="0.25">
      <c r="B151"/>
      <c r="C151" s="1" t="s">
        <v>53</v>
      </c>
      <c r="D151" s="6" t="s">
        <v>62</v>
      </c>
      <c r="E151">
        <v>2</v>
      </c>
      <c r="F151"/>
      <c r="H151" s="4"/>
    </row>
    <row r="152" spans="2:8" x14ac:dyDescent="0.25">
      <c r="B152"/>
      <c r="C152" s="1" t="s">
        <v>54</v>
      </c>
      <c r="D152" s="6" t="s">
        <v>62</v>
      </c>
      <c r="E152">
        <v>2</v>
      </c>
      <c r="F152"/>
      <c r="H152" s="4"/>
    </row>
    <row r="153" spans="2:8" x14ac:dyDescent="0.25">
      <c r="B153"/>
      <c r="C153" s="1" t="s">
        <v>51</v>
      </c>
      <c r="D153" s="6" t="s">
        <v>66</v>
      </c>
      <c r="E153">
        <v>2.2999999999999998</v>
      </c>
      <c r="F153"/>
      <c r="H153" s="4"/>
    </row>
    <row r="154" spans="2:8" x14ac:dyDescent="0.25">
      <c r="B154"/>
      <c r="C154" s="1" t="s">
        <v>52</v>
      </c>
      <c r="D154" s="6" t="s">
        <v>62</v>
      </c>
      <c r="E154">
        <v>2</v>
      </c>
      <c r="F154"/>
      <c r="H154" s="4"/>
    </row>
    <row r="155" spans="2:8" x14ac:dyDescent="0.25">
      <c r="B155"/>
      <c r="C155" s="1" t="s">
        <v>7</v>
      </c>
      <c r="D155" s="6" t="s">
        <v>72</v>
      </c>
      <c r="E155">
        <v>0.5</v>
      </c>
      <c r="F155"/>
      <c r="H155" s="4"/>
    </row>
    <row r="156" spans="2:8" x14ac:dyDescent="0.25">
      <c r="B156"/>
      <c r="C156" s="1" t="s">
        <v>53</v>
      </c>
      <c r="D156" s="6" t="s">
        <v>62</v>
      </c>
      <c r="E156">
        <v>2</v>
      </c>
      <c r="F156"/>
      <c r="H156" s="4"/>
    </row>
    <row r="157" spans="2:8" x14ac:dyDescent="0.25">
      <c r="B157"/>
      <c r="C157" s="1" t="s">
        <v>54</v>
      </c>
      <c r="D157" s="6" t="s">
        <v>69</v>
      </c>
      <c r="E157">
        <v>1</v>
      </c>
      <c r="F157"/>
      <c r="H157" s="4"/>
    </row>
    <row r="158" spans="2:8" x14ac:dyDescent="0.25">
      <c r="B158"/>
      <c r="C158" s="1" t="s">
        <v>51</v>
      </c>
      <c r="D158" s="6" t="s">
        <v>62</v>
      </c>
      <c r="E158">
        <v>2</v>
      </c>
      <c r="F158"/>
      <c r="H158" s="4"/>
    </row>
    <row r="159" spans="2:8" x14ac:dyDescent="0.25">
      <c r="B159"/>
      <c r="C159" s="1" t="s">
        <v>52</v>
      </c>
      <c r="D159" s="6" t="s">
        <v>64</v>
      </c>
      <c r="E159">
        <v>1.5</v>
      </c>
      <c r="F159"/>
      <c r="H159" s="4"/>
    </row>
    <row r="160" spans="2:8" x14ac:dyDescent="0.25">
      <c r="B160"/>
      <c r="C160" s="1" t="s">
        <v>7</v>
      </c>
      <c r="D160" s="6" t="s">
        <v>64</v>
      </c>
      <c r="E160">
        <v>1.5</v>
      </c>
      <c r="F160"/>
      <c r="H160" s="4"/>
    </row>
    <row r="161" spans="2:8" x14ac:dyDescent="0.25">
      <c r="B161"/>
      <c r="C161" s="1" t="s">
        <v>53</v>
      </c>
      <c r="D161" s="6" t="s">
        <v>62</v>
      </c>
      <c r="E161">
        <v>2</v>
      </c>
      <c r="F161"/>
      <c r="H161" s="4"/>
    </row>
    <row r="162" spans="2:8" x14ac:dyDescent="0.25">
      <c r="B162"/>
      <c r="C162" s="1" t="s">
        <v>54</v>
      </c>
      <c r="D162" s="6" t="s">
        <v>62</v>
      </c>
      <c r="E162">
        <v>2</v>
      </c>
      <c r="F162"/>
      <c r="H162" s="4"/>
    </row>
    <row r="163" spans="2:8" x14ac:dyDescent="0.25">
      <c r="B163"/>
      <c r="C163" s="1" t="s">
        <v>51</v>
      </c>
      <c r="D163" s="6" t="s">
        <v>62</v>
      </c>
      <c r="E163">
        <v>2</v>
      </c>
      <c r="F163"/>
      <c r="H163" s="4"/>
    </row>
    <row r="164" spans="2:8" x14ac:dyDescent="0.25">
      <c r="B164"/>
      <c r="C164" s="1" t="s">
        <v>52</v>
      </c>
      <c r="D164" s="6" t="s">
        <v>62</v>
      </c>
      <c r="E164">
        <v>2</v>
      </c>
      <c r="F164"/>
      <c r="H164" s="4"/>
    </row>
    <row r="165" spans="2:8" x14ac:dyDescent="0.25">
      <c r="B165"/>
      <c r="C165" s="1" t="s">
        <v>7</v>
      </c>
      <c r="D165" s="6" t="s">
        <v>62</v>
      </c>
      <c r="E165">
        <v>2</v>
      </c>
      <c r="F165"/>
      <c r="H165" s="4"/>
    </row>
    <row r="166" spans="2:8" x14ac:dyDescent="0.25">
      <c r="B166"/>
      <c r="C166" s="1" t="s">
        <v>53</v>
      </c>
      <c r="D166" s="6" t="s">
        <v>66</v>
      </c>
      <c r="E166">
        <v>2.2999999999999998</v>
      </c>
      <c r="F166"/>
      <c r="H166" s="4"/>
    </row>
    <row r="167" spans="2:8" x14ac:dyDescent="0.25">
      <c r="B167"/>
      <c r="C167" s="1" t="s">
        <v>54</v>
      </c>
      <c r="D167" s="6" t="s">
        <v>68</v>
      </c>
      <c r="E167">
        <v>1.25</v>
      </c>
      <c r="F167"/>
      <c r="H167" s="4"/>
    </row>
    <row r="168" spans="2:8" x14ac:dyDescent="0.25">
      <c r="B168"/>
      <c r="C168" s="1" t="s">
        <v>51</v>
      </c>
      <c r="D168" s="6" t="s">
        <v>69</v>
      </c>
      <c r="E168">
        <v>1</v>
      </c>
      <c r="F168"/>
      <c r="H168" s="4"/>
    </row>
    <row r="169" spans="2:8" x14ac:dyDescent="0.25">
      <c r="B169"/>
      <c r="C169" s="1" t="s">
        <v>52</v>
      </c>
      <c r="D169" s="6" t="s">
        <v>64</v>
      </c>
      <c r="E169">
        <v>1.5</v>
      </c>
      <c r="F169"/>
      <c r="H169" s="4"/>
    </row>
    <row r="170" spans="2:8" x14ac:dyDescent="0.25">
      <c r="B170"/>
      <c r="C170" s="1" t="s">
        <v>7</v>
      </c>
      <c r="D170" s="6" t="s">
        <v>62</v>
      </c>
      <c r="E170">
        <v>2</v>
      </c>
      <c r="F170"/>
      <c r="H170" s="4"/>
    </row>
    <row r="171" spans="2:8" x14ac:dyDescent="0.25">
      <c r="B171"/>
      <c r="C171" s="1" t="s">
        <v>53</v>
      </c>
      <c r="D171" s="6" t="s">
        <v>69</v>
      </c>
      <c r="E171">
        <v>1</v>
      </c>
      <c r="F171"/>
      <c r="H171" s="4"/>
    </row>
    <row r="172" spans="2:8" x14ac:dyDescent="0.25">
      <c r="B172"/>
      <c r="C172" s="1" t="s">
        <v>54</v>
      </c>
      <c r="D172" s="6" t="s">
        <v>69</v>
      </c>
      <c r="E172">
        <v>1</v>
      </c>
      <c r="F172"/>
      <c r="H172" s="4"/>
    </row>
    <row r="173" spans="2:8" x14ac:dyDescent="0.25">
      <c r="B173"/>
      <c r="C173" s="1" t="s">
        <v>51</v>
      </c>
      <c r="D173" s="6" t="s">
        <v>75</v>
      </c>
      <c r="E173">
        <v>16</v>
      </c>
      <c r="F173"/>
      <c r="H173" s="4"/>
    </row>
    <row r="174" spans="2:8" x14ac:dyDescent="0.25">
      <c r="B174"/>
      <c r="C174" s="1" t="s">
        <v>52</v>
      </c>
      <c r="D174" s="6" t="s">
        <v>75</v>
      </c>
      <c r="E174">
        <v>16</v>
      </c>
      <c r="F174"/>
      <c r="H174" s="4"/>
    </row>
    <row r="175" spans="2:8" x14ac:dyDescent="0.25">
      <c r="B175"/>
      <c r="C175" s="1" t="s">
        <v>7</v>
      </c>
      <c r="D175" s="6" t="s">
        <v>75</v>
      </c>
      <c r="E175">
        <v>16</v>
      </c>
      <c r="F175"/>
      <c r="H175" s="4"/>
    </row>
    <row r="176" spans="2:8" x14ac:dyDescent="0.25">
      <c r="B176"/>
      <c r="C176" s="1" t="s">
        <v>53</v>
      </c>
      <c r="D176" s="6" t="s">
        <v>75</v>
      </c>
      <c r="E176">
        <v>16</v>
      </c>
      <c r="F176"/>
      <c r="H176" s="4"/>
    </row>
    <row r="177" spans="2:8" x14ac:dyDescent="0.25">
      <c r="B177"/>
      <c r="C177" s="1" t="s">
        <v>54</v>
      </c>
      <c r="D177" s="6" t="s">
        <v>75</v>
      </c>
      <c r="E177">
        <v>16</v>
      </c>
      <c r="F177"/>
      <c r="H177" s="4"/>
    </row>
    <row r="178" spans="2:8" x14ac:dyDescent="0.25">
      <c r="B178"/>
      <c r="C178" s="1" t="s">
        <v>51</v>
      </c>
      <c r="D178" s="6" t="s">
        <v>64</v>
      </c>
      <c r="E178">
        <v>1.5</v>
      </c>
      <c r="F178"/>
      <c r="H178" s="4"/>
    </row>
    <row r="179" spans="2:8" x14ac:dyDescent="0.25">
      <c r="B179"/>
      <c r="C179" s="1" t="s">
        <v>52</v>
      </c>
      <c r="D179" s="6" t="s">
        <v>75</v>
      </c>
      <c r="E179">
        <v>16</v>
      </c>
      <c r="F179"/>
      <c r="H179" s="4"/>
    </row>
    <row r="180" spans="2:8" x14ac:dyDescent="0.25">
      <c r="B180"/>
      <c r="C180" s="1" t="s">
        <v>7</v>
      </c>
      <c r="D180" s="6" t="s">
        <v>64</v>
      </c>
      <c r="E180">
        <v>1.5</v>
      </c>
      <c r="F180"/>
      <c r="H180" s="4"/>
    </row>
    <row r="181" spans="2:8" x14ac:dyDescent="0.25">
      <c r="B181"/>
      <c r="C181" s="1" t="s">
        <v>53</v>
      </c>
      <c r="D181" s="6" t="s">
        <v>64</v>
      </c>
      <c r="E181">
        <v>1.5</v>
      </c>
      <c r="F181"/>
      <c r="H181" s="4"/>
    </row>
    <row r="182" spans="2:8" x14ac:dyDescent="0.25">
      <c r="B182"/>
      <c r="C182" s="1" t="s">
        <v>54</v>
      </c>
      <c r="D182" s="6" t="s">
        <v>64</v>
      </c>
      <c r="E182">
        <v>1.5</v>
      </c>
      <c r="F182"/>
      <c r="H182" s="4"/>
    </row>
    <row r="183" spans="2:8" x14ac:dyDescent="0.25">
      <c r="B183"/>
      <c r="C183" s="1" t="s">
        <v>51</v>
      </c>
      <c r="D183" s="6" t="s">
        <v>76</v>
      </c>
      <c r="E183">
        <v>16.5</v>
      </c>
      <c r="F183"/>
      <c r="H183" s="4"/>
    </row>
    <row r="184" spans="2:8" x14ac:dyDescent="0.25">
      <c r="B184"/>
      <c r="C184" s="1" t="s">
        <v>52</v>
      </c>
      <c r="D184" s="6" t="s">
        <v>64</v>
      </c>
      <c r="E184">
        <v>1.5</v>
      </c>
      <c r="F184"/>
      <c r="H184" s="4"/>
    </row>
    <row r="185" spans="2:8" x14ac:dyDescent="0.25">
      <c r="B185"/>
      <c r="C185" s="1" t="s">
        <v>7</v>
      </c>
      <c r="D185" s="6" t="s">
        <v>64</v>
      </c>
      <c r="E185">
        <v>1.5</v>
      </c>
      <c r="F185"/>
      <c r="H185" s="4"/>
    </row>
    <row r="186" spans="2:8" x14ac:dyDescent="0.25">
      <c r="B186"/>
      <c r="C186" s="1" t="s">
        <v>53</v>
      </c>
      <c r="D186" s="6" t="s">
        <v>74</v>
      </c>
      <c r="E186">
        <v>4</v>
      </c>
      <c r="F186"/>
      <c r="H186" s="4"/>
    </row>
    <row r="187" spans="2:8" x14ac:dyDescent="0.25">
      <c r="B187"/>
      <c r="C187" s="1" t="s">
        <v>54</v>
      </c>
      <c r="D187" s="6" t="s">
        <v>62</v>
      </c>
      <c r="E187">
        <v>2</v>
      </c>
      <c r="F187"/>
      <c r="H187" s="4"/>
    </row>
    <row r="188" spans="2:8" x14ac:dyDescent="0.25">
      <c r="B188"/>
      <c r="C188" s="1" t="s">
        <v>51</v>
      </c>
      <c r="D188" s="6" t="s">
        <v>62</v>
      </c>
      <c r="E188">
        <v>2</v>
      </c>
      <c r="F188"/>
      <c r="H188" s="4"/>
    </row>
    <row r="189" spans="2:8" x14ac:dyDescent="0.25">
      <c r="B189"/>
      <c r="C189" s="1" t="s">
        <v>52</v>
      </c>
      <c r="D189" s="6" t="s">
        <v>62</v>
      </c>
      <c r="E189">
        <v>2</v>
      </c>
      <c r="F189"/>
      <c r="H189" s="4"/>
    </row>
    <row r="190" spans="2:8" x14ac:dyDescent="0.25">
      <c r="B190"/>
      <c r="C190" s="1" t="s">
        <v>7</v>
      </c>
      <c r="D190" s="6" t="s">
        <v>62</v>
      </c>
      <c r="E190">
        <v>2</v>
      </c>
      <c r="F190"/>
      <c r="H190" s="4"/>
    </row>
    <row r="191" spans="2:8" x14ac:dyDescent="0.25">
      <c r="B191"/>
      <c r="C191" s="1" t="s">
        <v>53</v>
      </c>
      <c r="D191" s="6" t="s">
        <v>62</v>
      </c>
      <c r="E191">
        <v>2</v>
      </c>
      <c r="F191"/>
      <c r="H191" s="4"/>
    </row>
    <row r="192" spans="2:8" x14ac:dyDescent="0.25">
      <c r="B192"/>
      <c r="C192" s="1" t="s">
        <v>54</v>
      </c>
      <c r="D192" s="6" t="s">
        <v>66</v>
      </c>
      <c r="E192">
        <v>2.2999999999999998</v>
      </c>
      <c r="F192"/>
      <c r="H192" s="4"/>
    </row>
    <row r="193" spans="2:8" x14ac:dyDescent="0.25">
      <c r="B193"/>
      <c r="C193" s="1" t="s">
        <v>51</v>
      </c>
      <c r="D193" s="6" t="s">
        <v>65</v>
      </c>
      <c r="E193">
        <v>2</v>
      </c>
      <c r="F193"/>
      <c r="H193" s="4"/>
    </row>
    <row r="194" spans="2:8" x14ac:dyDescent="0.25">
      <c r="B194"/>
      <c r="C194" s="1" t="s">
        <v>52</v>
      </c>
      <c r="D194" s="6" t="s">
        <v>65</v>
      </c>
      <c r="E194">
        <v>2</v>
      </c>
      <c r="F194"/>
      <c r="H194" s="4"/>
    </row>
    <row r="195" spans="2:8" x14ac:dyDescent="0.25">
      <c r="B195"/>
      <c r="C195" s="1" t="s">
        <v>7</v>
      </c>
      <c r="D195" s="6" t="s">
        <v>65</v>
      </c>
      <c r="E195">
        <v>2</v>
      </c>
      <c r="F195"/>
      <c r="H195" s="4"/>
    </row>
    <row r="196" spans="2:8" x14ac:dyDescent="0.25">
      <c r="B196"/>
      <c r="C196" s="1" t="s">
        <v>53</v>
      </c>
      <c r="D196" s="6" t="s">
        <v>65</v>
      </c>
      <c r="E196">
        <v>2</v>
      </c>
      <c r="F196"/>
      <c r="H196" s="4"/>
    </row>
    <row r="197" spans="2:8" x14ac:dyDescent="0.25">
      <c r="B197"/>
      <c r="C197" s="1" t="s">
        <v>54</v>
      </c>
      <c r="D197" s="6" t="s">
        <v>62</v>
      </c>
      <c r="E197">
        <v>2</v>
      </c>
      <c r="F197"/>
      <c r="H197" s="4"/>
    </row>
    <row r="198" spans="2:8" x14ac:dyDescent="0.25">
      <c r="B198"/>
      <c r="C198" s="1" t="s">
        <v>51</v>
      </c>
      <c r="D198" s="6" t="s">
        <v>65</v>
      </c>
      <c r="E198">
        <v>2</v>
      </c>
      <c r="F198"/>
      <c r="H198" s="4"/>
    </row>
    <row r="199" spans="2:8" x14ac:dyDescent="0.25">
      <c r="B199"/>
      <c r="C199" s="1" t="s">
        <v>52</v>
      </c>
      <c r="D199" s="6" t="s">
        <v>62</v>
      </c>
      <c r="E199">
        <v>2</v>
      </c>
      <c r="F199"/>
      <c r="H199" s="4"/>
    </row>
    <row r="200" spans="2:8" x14ac:dyDescent="0.25">
      <c r="B200"/>
      <c r="C200" s="1" t="s">
        <v>7</v>
      </c>
      <c r="D200" s="6" t="s">
        <v>73</v>
      </c>
      <c r="E200">
        <v>0.5</v>
      </c>
      <c r="F200"/>
      <c r="H200" s="4"/>
    </row>
    <row r="201" spans="2:8" x14ac:dyDescent="0.25">
      <c r="B201"/>
      <c r="C201" s="1" t="s">
        <v>53</v>
      </c>
      <c r="D201" s="6" t="s">
        <v>64</v>
      </c>
      <c r="E201">
        <v>1.5</v>
      </c>
      <c r="F201"/>
      <c r="H201" s="4"/>
    </row>
    <row r="202" spans="2:8" x14ac:dyDescent="0.25">
      <c r="B202"/>
      <c r="C202" s="1" t="s">
        <v>54</v>
      </c>
      <c r="D202" s="6" t="s">
        <v>64</v>
      </c>
      <c r="E202">
        <v>1.5</v>
      </c>
      <c r="F202"/>
      <c r="H202" s="4"/>
    </row>
    <row r="203" spans="2:8" x14ac:dyDescent="0.25">
      <c r="B203"/>
      <c r="C203" s="1" t="s">
        <v>51</v>
      </c>
      <c r="D203" s="6" t="s">
        <v>62</v>
      </c>
      <c r="E203">
        <v>2</v>
      </c>
      <c r="F203"/>
      <c r="H203" s="4"/>
    </row>
    <row r="204" spans="2:8" x14ac:dyDescent="0.25">
      <c r="B204"/>
      <c r="C204" s="1" t="s">
        <v>52</v>
      </c>
      <c r="D204" s="6" t="s">
        <v>62</v>
      </c>
      <c r="E204">
        <v>2</v>
      </c>
      <c r="F204"/>
      <c r="H204" s="4"/>
    </row>
    <row r="205" spans="2:8" x14ac:dyDescent="0.25">
      <c r="B205"/>
      <c r="C205" s="1" t="s">
        <v>7</v>
      </c>
      <c r="D205" s="6" t="s">
        <v>62</v>
      </c>
      <c r="E205">
        <v>2</v>
      </c>
      <c r="F205"/>
      <c r="H205" s="4"/>
    </row>
    <row r="206" spans="2:8" x14ac:dyDescent="0.25">
      <c r="B206"/>
      <c r="C206" s="1" t="s">
        <v>53</v>
      </c>
      <c r="D206" s="6" t="s">
        <v>62</v>
      </c>
      <c r="E206">
        <v>2</v>
      </c>
      <c r="F206"/>
      <c r="H206" s="4"/>
    </row>
    <row r="207" spans="2:8" x14ac:dyDescent="0.25">
      <c r="B207"/>
      <c r="C207" s="1" t="s">
        <v>54</v>
      </c>
      <c r="D207" s="6" t="s">
        <v>62</v>
      </c>
      <c r="E207">
        <v>2</v>
      </c>
      <c r="F207"/>
      <c r="H207" s="4"/>
    </row>
    <row r="208" spans="2:8" x14ac:dyDescent="0.25">
      <c r="B208"/>
      <c r="C208" s="1" t="s">
        <v>51</v>
      </c>
      <c r="D208" s="6" t="s">
        <v>62</v>
      </c>
      <c r="E208">
        <v>2</v>
      </c>
      <c r="F208"/>
      <c r="H208" s="4"/>
    </row>
    <row r="209" spans="2:8" x14ac:dyDescent="0.25">
      <c r="B209"/>
      <c r="C209" s="1" t="s">
        <v>52</v>
      </c>
      <c r="D209" s="6" t="s">
        <v>65</v>
      </c>
      <c r="E209">
        <v>2</v>
      </c>
      <c r="F209"/>
      <c r="H209" s="4"/>
    </row>
    <row r="210" spans="2:8" x14ac:dyDescent="0.25">
      <c r="B210"/>
      <c r="C210" s="1" t="s">
        <v>7</v>
      </c>
      <c r="D210" s="6" t="s">
        <v>62</v>
      </c>
      <c r="E210">
        <v>2</v>
      </c>
      <c r="F210"/>
      <c r="H210" s="4"/>
    </row>
    <row r="211" spans="2:8" x14ac:dyDescent="0.25">
      <c r="B211"/>
      <c r="C211" s="1" t="s">
        <v>53</v>
      </c>
      <c r="D211" s="6" t="s">
        <v>62</v>
      </c>
      <c r="E211">
        <v>2</v>
      </c>
      <c r="F211"/>
      <c r="H211" s="4"/>
    </row>
    <row r="212" spans="2:8" x14ac:dyDescent="0.25">
      <c r="B212"/>
      <c r="C212" s="1" t="s">
        <v>54</v>
      </c>
      <c r="D212" s="6" t="s">
        <v>62</v>
      </c>
      <c r="E212">
        <v>2</v>
      </c>
      <c r="F212"/>
      <c r="H212" s="4"/>
    </row>
    <row r="213" spans="2:8" x14ac:dyDescent="0.25">
      <c r="B213"/>
      <c r="C213" s="1" t="s">
        <v>51</v>
      </c>
      <c r="D213" s="6" t="s">
        <v>65</v>
      </c>
      <c r="E213">
        <v>2</v>
      </c>
      <c r="F213"/>
      <c r="H213" s="4"/>
    </row>
    <row r="214" spans="2:8" x14ac:dyDescent="0.25">
      <c r="B214"/>
      <c r="C214" s="1" t="s">
        <v>52</v>
      </c>
      <c r="D214" s="6" t="s">
        <v>69</v>
      </c>
      <c r="E214">
        <v>1</v>
      </c>
      <c r="F214"/>
      <c r="H214" s="4"/>
    </row>
    <row r="215" spans="2:8" x14ac:dyDescent="0.25">
      <c r="B215"/>
      <c r="C215" s="1" t="s">
        <v>7</v>
      </c>
      <c r="D215" s="6" t="s">
        <v>69</v>
      </c>
      <c r="E215">
        <v>1</v>
      </c>
      <c r="F215"/>
      <c r="H215" s="4"/>
    </row>
    <row r="216" spans="2:8" x14ac:dyDescent="0.25">
      <c r="B216"/>
      <c r="C216" s="1" t="s">
        <v>53</v>
      </c>
      <c r="D216" s="6" t="s">
        <v>62</v>
      </c>
      <c r="E216">
        <v>2</v>
      </c>
      <c r="F216"/>
      <c r="H216" s="4"/>
    </row>
    <row r="217" spans="2:8" x14ac:dyDescent="0.25">
      <c r="B217"/>
      <c r="C217" s="1" t="s">
        <v>54</v>
      </c>
      <c r="D217" s="6" t="s">
        <v>62</v>
      </c>
      <c r="E217">
        <v>2</v>
      </c>
      <c r="F217"/>
      <c r="H217" s="4"/>
    </row>
    <row r="218" spans="2:8" x14ac:dyDescent="0.25">
      <c r="B218"/>
      <c r="C218" s="1" t="s">
        <v>51</v>
      </c>
      <c r="D218" s="6" t="s">
        <v>64</v>
      </c>
      <c r="E218">
        <v>1.5</v>
      </c>
      <c r="F218"/>
      <c r="H218" s="4"/>
    </row>
    <row r="219" spans="2:8" x14ac:dyDescent="0.25">
      <c r="B219"/>
      <c r="C219" s="1" t="s">
        <v>52</v>
      </c>
      <c r="D219" s="6" t="s">
        <v>65</v>
      </c>
      <c r="E219">
        <v>2</v>
      </c>
      <c r="F219"/>
      <c r="H219" s="4"/>
    </row>
    <row r="220" spans="2:8" x14ac:dyDescent="0.25">
      <c r="B220"/>
      <c r="C220" s="1" t="s">
        <v>7</v>
      </c>
      <c r="D220" s="6" t="s">
        <v>62</v>
      </c>
      <c r="E220">
        <v>2</v>
      </c>
      <c r="F220"/>
      <c r="H220" s="4"/>
    </row>
    <row r="221" spans="2:8" x14ac:dyDescent="0.25">
      <c r="B221"/>
      <c r="C221" s="1" t="s">
        <v>53</v>
      </c>
      <c r="D221" s="6" t="s">
        <v>62</v>
      </c>
      <c r="E221">
        <v>2</v>
      </c>
      <c r="F221"/>
      <c r="H221" s="4"/>
    </row>
    <row r="222" spans="2:8" x14ac:dyDescent="0.25">
      <c r="B222"/>
      <c r="C222" s="1" t="s">
        <v>54</v>
      </c>
      <c r="D222" s="6" t="s">
        <v>62</v>
      </c>
      <c r="E222">
        <v>2</v>
      </c>
      <c r="F222"/>
      <c r="H222" s="4"/>
    </row>
    <row r="223" spans="2:8" x14ac:dyDescent="0.25">
      <c r="B223"/>
      <c r="C223" s="1" t="s">
        <v>51</v>
      </c>
      <c r="D223" s="6" t="s">
        <v>64</v>
      </c>
      <c r="E223">
        <v>1.5</v>
      </c>
      <c r="F223"/>
      <c r="H223" s="4"/>
    </row>
    <row r="224" spans="2:8" x14ac:dyDescent="0.25">
      <c r="B224"/>
      <c r="C224" s="1" t="s">
        <v>52</v>
      </c>
      <c r="D224" s="6" t="s">
        <v>64</v>
      </c>
      <c r="E224">
        <v>1.5</v>
      </c>
      <c r="F224"/>
      <c r="H224" s="4"/>
    </row>
    <row r="225" spans="2:8" x14ac:dyDescent="0.25">
      <c r="B225"/>
      <c r="C225" s="1" t="s">
        <v>7</v>
      </c>
      <c r="D225" s="6" t="s">
        <v>62</v>
      </c>
      <c r="E225">
        <v>2</v>
      </c>
      <c r="F225"/>
      <c r="H225" s="4"/>
    </row>
    <row r="226" spans="2:8" x14ac:dyDescent="0.25">
      <c r="B226"/>
      <c r="C226" s="1" t="s">
        <v>53</v>
      </c>
      <c r="D226" s="6" t="s">
        <v>64</v>
      </c>
      <c r="E226">
        <v>1.5</v>
      </c>
      <c r="F226"/>
      <c r="H226" s="4"/>
    </row>
    <row r="227" spans="2:8" x14ac:dyDescent="0.25">
      <c r="B227"/>
      <c r="C227" s="1" t="s">
        <v>54</v>
      </c>
      <c r="D227" s="6" t="s">
        <v>65</v>
      </c>
      <c r="E227">
        <v>2</v>
      </c>
      <c r="F227"/>
      <c r="H227" s="4"/>
    </row>
    <row r="228" spans="2:8" x14ac:dyDescent="0.25">
      <c r="B228"/>
      <c r="C228" s="1" t="s">
        <v>51</v>
      </c>
      <c r="D228" s="6" t="s">
        <v>62</v>
      </c>
      <c r="E228">
        <v>2</v>
      </c>
      <c r="F228"/>
      <c r="H228" s="4"/>
    </row>
    <row r="229" spans="2:8" x14ac:dyDescent="0.25">
      <c r="B229"/>
      <c r="C229" s="1" t="s">
        <v>52</v>
      </c>
      <c r="D229" s="6" t="s">
        <v>77</v>
      </c>
      <c r="E229">
        <v>21.5</v>
      </c>
      <c r="F229"/>
      <c r="H229" s="4"/>
    </row>
    <row r="230" spans="2:8" x14ac:dyDescent="0.25">
      <c r="B230"/>
      <c r="C230" s="1" t="s">
        <v>7</v>
      </c>
      <c r="D230" s="6" t="s">
        <v>64</v>
      </c>
      <c r="E230">
        <v>1.5</v>
      </c>
      <c r="F230"/>
      <c r="H230" s="4"/>
    </row>
    <row r="231" spans="2:8" x14ac:dyDescent="0.25">
      <c r="B231"/>
      <c r="C231" s="1" t="s">
        <v>53</v>
      </c>
      <c r="D231" s="6" t="s">
        <v>66</v>
      </c>
      <c r="E231">
        <v>2.2999999999999998</v>
      </c>
      <c r="F231"/>
      <c r="H231" s="4"/>
    </row>
    <row r="232" spans="2:8" x14ac:dyDescent="0.25">
      <c r="B232"/>
      <c r="C232" s="1" t="s">
        <v>54</v>
      </c>
      <c r="D232" s="6" t="s">
        <v>62</v>
      </c>
      <c r="E232">
        <v>2</v>
      </c>
      <c r="F232"/>
      <c r="H232" s="4"/>
    </row>
    <row r="233" spans="2:8" x14ac:dyDescent="0.25">
      <c r="B233"/>
      <c r="C233" s="1" t="s">
        <v>51</v>
      </c>
      <c r="D233" s="6" t="s">
        <v>62</v>
      </c>
      <c r="E233">
        <v>2</v>
      </c>
      <c r="F233"/>
      <c r="H233" s="4"/>
    </row>
    <row r="234" spans="2:8" x14ac:dyDescent="0.25">
      <c r="B234"/>
      <c r="C234" s="1" t="s">
        <v>52</v>
      </c>
      <c r="D234" s="6" t="s">
        <v>62</v>
      </c>
      <c r="E234">
        <v>2</v>
      </c>
      <c r="F234"/>
      <c r="H234" s="4"/>
    </row>
    <row r="235" spans="2:8" x14ac:dyDescent="0.25">
      <c r="B235"/>
      <c r="C235" s="1" t="s">
        <v>7</v>
      </c>
      <c r="D235" s="6" t="s">
        <v>63</v>
      </c>
      <c r="E235">
        <v>1</v>
      </c>
      <c r="F235"/>
      <c r="H235" s="4"/>
    </row>
    <row r="236" spans="2:8" x14ac:dyDescent="0.25">
      <c r="B236"/>
      <c r="C236" s="1" t="s">
        <v>53</v>
      </c>
      <c r="D236" s="6" t="s">
        <v>63</v>
      </c>
      <c r="E236">
        <v>1</v>
      </c>
      <c r="F236"/>
      <c r="H236" s="4"/>
    </row>
    <row r="237" spans="2:8" x14ac:dyDescent="0.25">
      <c r="B237"/>
      <c r="C237" s="1" t="s">
        <v>54</v>
      </c>
      <c r="D237" s="6" t="s">
        <v>66</v>
      </c>
      <c r="E237">
        <v>2.2999999999999998</v>
      </c>
      <c r="F237"/>
      <c r="H237" s="4"/>
    </row>
    <row r="238" spans="2:8" x14ac:dyDescent="0.25">
      <c r="B238"/>
      <c r="C238" s="1" t="s">
        <v>51</v>
      </c>
      <c r="D238" s="6" t="s">
        <v>72</v>
      </c>
      <c r="E238">
        <v>0.5</v>
      </c>
      <c r="F238"/>
      <c r="H238" s="4"/>
    </row>
    <row r="239" spans="2:8" x14ac:dyDescent="0.25">
      <c r="B239"/>
      <c r="C239" s="1" t="s">
        <v>52</v>
      </c>
      <c r="D239" s="6" t="s">
        <v>62</v>
      </c>
      <c r="E239">
        <v>2</v>
      </c>
      <c r="F239"/>
      <c r="H239" s="4"/>
    </row>
    <row r="240" spans="2:8" x14ac:dyDescent="0.25">
      <c r="B240"/>
      <c r="C240" s="1" t="s">
        <v>7</v>
      </c>
      <c r="D240" s="6" t="s">
        <v>64</v>
      </c>
      <c r="E240">
        <v>1.5</v>
      </c>
      <c r="F240"/>
      <c r="H240" s="4"/>
    </row>
    <row r="241" spans="2:8" x14ac:dyDescent="0.25">
      <c r="B241"/>
      <c r="C241" s="1" t="s">
        <v>53</v>
      </c>
      <c r="D241" s="6" t="s">
        <v>67</v>
      </c>
      <c r="E241">
        <v>3</v>
      </c>
      <c r="F241"/>
      <c r="H241" s="4"/>
    </row>
    <row r="242" spans="2:8" x14ac:dyDescent="0.25">
      <c r="B242"/>
      <c r="C242" s="1" t="s">
        <v>54</v>
      </c>
      <c r="D242" s="6" t="s">
        <v>66</v>
      </c>
      <c r="E242">
        <v>2.2999999999999998</v>
      </c>
      <c r="F242"/>
      <c r="H242" s="4"/>
    </row>
    <row r="243" spans="2:8" x14ac:dyDescent="0.25">
      <c r="B243"/>
      <c r="C243" s="1" t="s">
        <v>51</v>
      </c>
      <c r="D243" s="6" t="s">
        <v>67</v>
      </c>
      <c r="E243">
        <v>3</v>
      </c>
      <c r="F243"/>
      <c r="H243" s="4"/>
    </row>
    <row r="244" spans="2:8" x14ac:dyDescent="0.25">
      <c r="B244"/>
      <c r="C244" s="1" t="s">
        <v>52</v>
      </c>
      <c r="D244" s="6" t="s">
        <v>65</v>
      </c>
      <c r="E244">
        <v>2</v>
      </c>
      <c r="F244"/>
      <c r="H244" s="4"/>
    </row>
    <row r="245" spans="2:8" x14ac:dyDescent="0.25">
      <c r="B245"/>
      <c r="C245" s="1" t="s">
        <v>7</v>
      </c>
      <c r="D245" s="6" t="s">
        <v>64</v>
      </c>
      <c r="E245">
        <v>1.5</v>
      </c>
      <c r="F245"/>
      <c r="H245" s="4"/>
    </row>
    <row r="246" spans="2:8" x14ac:dyDescent="0.25">
      <c r="B246"/>
      <c r="C246" s="1" t="s">
        <v>53</v>
      </c>
      <c r="D246" s="6" t="s">
        <v>62</v>
      </c>
      <c r="E246">
        <v>2</v>
      </c>
      <c r="F246"/>
      <c r="H246" s="4"/>
    </row>
    <row r="247" spans="2:8" x14ac:dyDescent="0.25">
      <c r="B247"/>
      <c r="C247" s="1" t="s">
        <v>54</v>
      </c>
      <c r="D247" s="6" t="s">
        <v>68</v>
      </c>
      <c r="E247">
        <v>1.25</v>
      </c>
      <c r="F247"/>
      <c r="H247" s="4"/>
    </row>
    <row r="248" spans="2:8" x14ac:dyDescent="0.25">
      <c r="B248"/>
      <c r="C248" s="1" t="s">
        <v>51</v>
      </c>
      <c r="D248" s="6" t="s">
        <v>62</v>
      </c>
      <c r="E248">
        <v>2</v>
      </c>
      <c r="F248"/>
      <c r="H248" s="4"/>
    </row>
    <row r="249" spans="2:8" x14ac:dyDescent="0.25">
      <c r="B249"/>
      <c r="C249" s="1" t="s">
        <v>52</v>
      </c>
      <c r="D249" s="6" t="s">
        <v>62</v>
      </c>
      <c r="E249">
        <v>2</v>
      </c>
      <c r="F249"/>
      <c r="H249" s="4"/>
    </row>
    <row r="250" spans="2:8" x14ac:dyDescent="0.25">
      <c r="B250"/>
      <c r="C250" s="1" t="s">
        <v>7</v>
      </c>
      <c r="D250" s="6" t="s">
        <v>64</v>
      </c>
      <c r="E250">
        <v>1.5</v>
      </c>
      <c r="F250"/>
      <c r="H250" s="4"/>
    </row>
    <row r="251" spans="2:8" x14ac:dyDescent="0.25">
      <c r="B251"/>
      <c r="C251" s="1" t="s">
        <v>53</v>
      </c>
      <c r="D251" s="6" t="s">
        <v>64</v>
      </c>
      <c r="E251">
        <v>1.5</v>
      </c>
      <c r="F251"/>
      <c r="H251" s="4"/>
    </row>
    <row r="252" spans="2:8" x14ac:dyDescent="0.25">
      <c r="B252"/>
      <c r="C252" s="1" t="s">
        <v>54</v>
      </c>
      <c r="D252" s="6" t="s">
        <v>64</v>
      </c>
      <c r="E252">
        <v>1.5</v>
      </c>
      <c r="F252"/>
      <c r="H252" s="4"/>
    </row>
    <row r="253" spans="2:8" x14ac:dyDescent="0.25">
      <c r="B253"/>
      <c r="C253" s="1" t="s">
        <v>51</v>
      </c>
      <c r="D253" s="6" t="s">
        <v>62</v>
      </c>
      <c r="E253">
        <v>2</v>
      </c>
      <c r="F253"/>
      <c r="H253" s="4"/>
    </row>
    <row r="254" spans="2:8" x14ac:dyDescent="0.25">
      <c r="B254"/>
      <c r="C254" s="1" t="s">
        <v>52</v>
      </c>
      <c r="D254" s="6" t="s">
        <v>65</v>
      </c>
      <c r="E254">
        <v>2</v>
      </c>
      <c r="F254"/>
      <c r="H254" s="4"/>
    </row>
    <row r="255" spans="2:8" x14ac:dyDescent="0.25">
      <c r="B255"/>
      <c r="C255" s="1" t="s">
        <v>7</v>
      </c>
      <c r="D255" s="6" t="s">
        <v>69</v>
      </c>
      <c r="E255">
        <v>1</v>
      </c>
      <c r="F255"/>
      <c r="H255" s="4"/>
    </row>
    <row r="256" spans="2:8" x14ac:dyDescent="0.25">
      <c r="B256"/>
      <c r="C256" s="1" t="s">
        <v>53</v>
      </c>
      <c r="D256" s="6" t="s">
        <v>62</v>
      </c>
      <c r="E256">
        <v>2</v>
      </c>
      <c r="F256"/>
      <c r="H256" s="4"/>
    </row>
    <row r="257" spans="2:8" x14ac:dyDescent="0.25">
      <c r="B257"/>
      <c r="C257" s="1" t="s">
        <v>54</v>
      </c>
      <c r="D257" s="6" t="s">
        <v>64</v>
      </c>
      <c r="E257">
        <v>1.5</v>
      </c>
      <c r="F257"/>
      <c r="H257" s="4"/>
    </row>
    <row r="258" spans="2:8" x14ac:dyDescent="0.25">
      <c r="B258"/>
      <c r="C258" s="1" t="s">
        <v>51</v>
      </c>
      <c r="D258" s="6" t="s">
        <v>64</v>
      </c>
      <c r="E258">
        <v>1.5</v>
      </c>
      <c r="F258"/>
      <c r="H258" s="4"/>
    </row>
    <row r="259" spans="2:8" x14ac:dyDescent="0.25">
      <c r="B259"/>
      <c r="C259" s="1" t="s">
        <v>52</v>
      </c>
      <c r="D259" s="6" t="s">
        <v>66</v>
      </c>
      <c r="E259">
        <v>2.2999999999999998</v>
      </c>
      <c r="F259"/>
      <c r="H259" s="4"/>
    </row>
    <row r="260" spans="2:8" x14ac:dyDescent="0.25">
      <c r="B260"/>
      <c r="C260" s="1" t="s">
        <v>7</v>
      </c>
      <c r="D260" s="6" t="s">
        <v>62</v>
      </c>
      <c r="E260">
        <v>2</v>
      </c>
      <c r="F260"/>
      <c r="H260" s="4"/>
    </row>
    <row r="261" spans="2:8" x14ac:dyDescent="0.25">
      <c r="B261"/>
      <c r="C261" s="1" t="s">
        <v>53</v>
      </c>
      <c r="D261" s="6" t="s">
        <v>62</v>
      </c>
      <c r="E261">
        <v>2</v>
      </c>
      <c r="F261"/>
      <c r="H261" s="4"/>
    </row>
    <row r="262" spans="2:8" x14ac:dyDescent="0.25">
      <c r="B262"/>
      <c r="C262" s="1" t="s">
        <v>54</v>
      </c>
      <c r="D262" s="6" t="s">
        <v>64</v>
      </c>
      <c r="E262">
        <v>1.5</v>
      </c>
      <c r="F262"/>
      <c r="H262" s="4"/>
    </row>
    <row r="263" spans="2:8" x14ac:dyDescent="0.25">
      <c r="B263"/>
      <c r="C263" s="1" t="s">
        <v>51</v>
      </c>
      <c r="D263" s="6" t="s">
        <v>62</v>
      </c>
      <c r="E263">
        <v>2</v>
      </c>
      <c r="F263"/>
      <c r="H263" s="4"/>
    </row>
    <row r="264" spans="2:8" x14ac:dyDescent="0.25">
      <c r="B264"/>
      <c r="C264" s="1" t="s">
        <v>52</v>
      </c>
      <c r="D264" s="6" t="s">
        <v>64</v>
      </c>
      <c r="E264">
        <v>1.5</v>
      </c>
      <c r="F264"/>
      <c r="H264" s="4"/>
    </row>
    <row r="265" spans="2:8" x14ac:dyDescent="0.25">
      <c r="B265"/>
      <c r="C265" s="1" t="s">
        <v>7</v>
      </c>
      <c r="D265" s="6" t="s">
        <v>64</v>
      </c>
      <c r="E265">
        <v>1.5</v>
      </c>
      <c r="F265"/>
      <c r="H265" s="4"/>
    </row>
    <row r="266" spans="2:8" x14ac:dyDescent="0.25">
      <c r="B266"/>
      <c r="C266" s="1" t="s">
        <v>53</v>
      </c>
      <c r="D266" s="6" t="s">
        <v>62</v>
      </c>
      <c r="E266">
        <v>2</v>
      </c>
      <c r="F266"/>
      <c r="H266" s="4"/>
    </row>
    <row r="267" spans="2:8" x14ac:dyDescent="0.25">
      <c r="B267"/>
      <c r="C267" s="1" t="s">
        <v>54</v>
      </c>
      <c r="D267" s="6" t="s">
        <v>62</v>
      </c>
      <c r="E267">
        <v>2</v>
      </c>
      <c r="F267"/>
      <c r="H267" s="4"/>
    </row>
    <row r="268" spans="2:8" x14ac:dyDescent="0.25">
      <c r="B268"/>
      <c r="C268" s="1" t="s">
        <v>51</v>
      </c>
      <c r="D268" s="6" t="s">
        <v>62</v>
      </c>
      <c r="E268">
        <v>2</v>
      </c>
      <c r="F268"/>
      <c r="H268" s="4"/>
    </row>
    <row r="269" spans="2:8" x14ac:dyDescent="0.25">
      <c r="B269"/>
      <c r="C269" s="1" t="s">
        <v>52</v>
      </c>
      <c r="D269" s="6" t="s">
        <v>65</v>
      </c>
      <c r="E269">
        <v>2</v>
      </c>
      <c r="F269"/>
      <c r="H269" s="4"/>
    </row>
    <row r="270" spans="2:8" x14ac:dyDescent="0.25">
      <c r="B270"/>
      <c r="C270" s="1" t="s">
        <v>7</v>
      </c>
      <c r="D270" s="6" t="s">
        <v>62</v>
      </c>
      <c r="E270">
        <v>2</v>
      </c>
      <c r="F270"/>
      <c r="H270" s="4"/>
    </row>
    <row r="271" spans="2:8" x14ac:dyDescent="0.25">
      <c r="B271"/>
      <c r="C271" s="1" t="s">
        <v>53</v>
      </c>
      <c r="D271" s="6" t="s">
        <v>62</v>
      </c>
      <c r="E271">
        <v>2</v>
      </c>
      <c r="F271"/>
      <c r="H271" s="4"/>
    </row>
    <row r="272" spans="2:8" x14ac:dyDescent="0.25">
      <c r="B272"/>
      <c r="C272" s="1" t="s">
        <v>54</v>
      </c>
      <c r="D272" s="6" t="s">
        <v>64</v>
      </c>
      <c r="E272">
        <v>1.5</v>
      </c>
      <c r="F272"/>
      <c r="H272" s="4"/>
    </row>
    <row r="273" spans="2:8" x14ac:dyDescent="0.25">
      <c r="B273"/>
      <c r="C273" s="1" t="s">
        <v>51</v>
      </c>
      <c r="D273" s="6" t="s">
        <v>64</v>
      </c>
      <c r="E273">
        <v>1.5</v>
      </c>
      <c r="F273"/>
      <c r="H273" s="4"/>
    </row>
    <row r="274" spans="2:8" x14ac:dyDescent="0.25">
      <c r="B274"/>
      <c r="C274" s="1" t="s">
        <v>52</v>
      </c>
      <c r="D274" s="6" t="s">
        <v>62</v>
      </c>
      <c r="E274">
        <v>2</v>
      </c>
      <c r="F274"/>
      <c r="H274" s="4"/>
    </row>
    <row r="275" spans="2:8" x14ac:dyDescent="0.25">
      <c r="B275"/>
      <c r="C275" s="1" t="s">
        <v>7</v>
      </c>
      <c r="D275" s="6" t="s">
        <v>64</v>
      </c>
      <c r="E275">
        <v>1.5</v>
      </c>
      <c r="F275"/>
      <c r="H275" s="4"/>
    </row>
    <row r="276" spans="2:8" x14ac:dyDescent="0.25">
      <c r="B276"/>
      <c r="C276" s="1" t="s">
        <v>53</v>
      </c>
      <c r="D276" s="6" t="s">
        <v>69</v>
      </c>
      <c r="E276">
        <v>1</v>
      </c>
      <c r="F276"/>
      <c r="H276" s="4"/>
    </row>
    <row r="277" spans="2:8" x14ac:dyDescent="0.25">
      <c r="B277"/>
      <c r="C277" s="1" t="s">
        <v>54</v>
      </c>
      <c r="D277" s="6" t="s">
        <v>78</v>
      </c>
      <c r="E277">
        <v>0.67</v>
      </c>
      <c r="F277"/>
      <c r="H277" s="4"/>
    </row>
    <row r="278" spans="2:8" x14ac:dyDescent="0.25">
      <c r="B278"/>
      <c r="C278" s="1" t="s">
        <v>51</v>
      </c>
      <c r="D278" s="6" t="s">
        <v>65</v>
      </c>
      <c r="E278">
        <v>2</v>
      </c>
      <c r="F278"/>
      <c r="H278" s="4"/>
    </row>
    <row r="279" spans="2:8" x14ac:dyDescent="0.25">
      <c r="B279"/>
      <c r="C279" s="1" t="s">
        <v>52</v>
      </c>
      <c r="D279" s="6" t="s">
        <v>64</v>
      </c>
      <c r="E279">
        <v>1.5</v>
      </c>
      <c r="F279"/>
      <c r="H279" s="4"/>
    </row>
    <row r="280" spans="2:8" x14ac:dyDescent="0.25">
      <c r="B280"/>
      <c r="C280" s="1" t="s">
        <v>7</v>
      </c>
      <c r="D280" s="6" t="s">
        <v>64</v>
      </c>
      <c r="E280">
        <v>1.5</v>
      </c>
      <c r="F280"/>
      <c r="H280" s="4"/>
    </row>
    <row r="281" spans="2:8" x14ac:dyDescent="0.25">
      <c r="B281"/>
      <c r="C281" s="1" t="s">
        <v>53</v>
      </c>
      <c r="D281" s="6" t="s">
        <v>71</v>
      </c>
      <c r="E281">
        <v>2.5</v>
      </c>
      <c r="F281"/>
      <c r="H281" s="4"/>
    </row>
    <row r="282" spans="2:8" x14ac:dyDescent="0.25">
      <c r="B282"/>
      <c r="C282" s="1" t="s">
        <v>54</v>
      </c>
      <c r="D282" s="6" t="s">
        <v>69</v>
      </c>
      <c r="E282">
        <v>1</v>
      </c>
      <c r="F282"/>
      <c r="H282" s="4"/>
    </row>
    <row r="283" spans="2:8" x14ac:dyDescent="0.25">
      <c r="B283"/>
      <c r="C283" s="1" t="s">
        <v>51</v>
      </c>
      <c r="D283" s="6" t="s">
        <v>64</v>
      </c>
      <c r="E283">
        <v>1.5</v>
      </c>
      <c r="F283"/>
      <c r="H283" s="4"/>
    </row>
    <row r="284" spans="2:8" x14ac:dyDescent="0.25">
      <c r="B284"/>
      <c r="C284" s="1" t="s">
        <v>52</v>
      </c>
      <c r="D284" s="6" t="s">
        <v>64</v>
      </c>
      <c r="E284">
        <v>1.5</v>
      </c>
      <c r="F284"/>
      <c r="H284" s="4"/>
    </row>
    <row r="285" spans="2:8" x14ac:dyDescent="0.25">
      <c r="B285"/>
      <c r="C285" s="1" t="s">
        <v>7</v>
      </c>
      <c r="D285" s="6" t="s">
        <v>64</v>
      </c>
      <c r="E285">
        <v>1.5</v>
      </c>
      <c r="F285"/>
      <c r="H285" s="4"/>
    </row>
    <row r="286" spans="2:8" x14ac:dyDescent="0.25">
      <c r="B286"/>
      <c r="C286" s="1" t="s">
        <v>53</v>
      </c>
      <c r="D286" s="6" t="s">
        <v>64</v>
      </c>
      <c r="E286">
        <v>1.5</v>
      </c>
      <c r="F286"/>
      <c r="H286" s="4"/>
    </row>
    <row r="287" spans="2:8" x14ac:dyDescent="0.25">
      <c r="B287"/>
      <c r="C287" s="1" t="s">
        <v>54</v>
      </c>
      <c r="D287" s="6" t="s">
        <v>69</v>
      </c>
      <c r="E287">
        <v>1</v>
      </c>
      <c r="F287"/>
      <c r="H287" s="4"/>
    </row>
    <row r="288" spans="2:8" x14ac:dyDescent="0.25">
      <c r="B288"/>
      <c r="C288" s="1" t="s">
        <v>51</v>
      </c>
      <c r="D288" s="6" t="s">
        <v>62</v>
      </c>
      <c r="E288">
        <v>2</v>
      </c>
      <c r="F288"/>
      <c r="H288" s="4"/>
    </row>
    <row r="289" spans="2:8" x14ac:dyDescent="0.25">
      <c r="B289"/>
      <c r="C289" s="1" t="s">
        <v>52</v>
      </c>
      <c r="D289" s="6" t="s">
        <v>62</v>
      </c>
      <c r="E289">
        <v>2</v>
      </c>
      <c r="F289"/>
      <c r="H289" s="4"/>
    </row>
    <row r="290" spans="2:8" x14ac:dyDescent="0.25">
      <c r="B290"/>
      <c r="C290" s="1" t="s">
        <v>7</v>
      </c>
      <c r="D290" s="6" t="s">
        <v>62</v>
      </c>
      <c r="E290">
        <v>2</v>
      </c>
      <c r="F290"/>
      <c r="H290" s="4"/>
    </row>
    <row r="291" spans="2:8" x14ac:dyDescent="0.25">
      <c r="B291"/>
      <c r="C291" s="1" t="s">
        <v>53</v>
      </c>
      <c r="D291" s="6" t="s">
        <v>67</v>
      </c>
      <c r="E291">
        <v>3</v>
      </c>
      <c r="F291"/>
      <c r="H291" s="4"/>
    </row>
    <row r="292" spans="2:8" x14ac:dyDescent="0.25">
      <c r="B292"/>
      <c r="C292" s="1" t="s">
        <v>54</v>
      </c>
      <c r="D292" s="6" t="s">
        <v>62</v>
      </c>
      <c r="E292">
        <v>2</v>
      </c>
      <c r="F292"/>
      <c r="H292" s="4"/>
    </row>
    <row r="293" spans="2:8" x14ac:dyDescent="0.25">
      <c r="B293"/>
      <c r="C293" s="1" t="s">
        <v>51</v>
      </c>
      <c r="D293" s="6" t="s">
        <v>65</v>
      </c>
      <c r="E293">
        <v>2</v>
      </c>
      <c r="F293"/>
      <c r="H293" s="4"/>
    </row>
    <row r="294" spans="2:8" x14ac:dyDescent="0.25">
      <c r="B294"/>
      <c r="C294" s="1" t="s">
        <v>52</v>
      </c>
      <c r="D294" s="6" t="s">
        <v>62</v>
      </c>
      <c r="E294">
        <v>2</v>
      </c>
      <c r="F294"/>
      <c r="H294" s="4"/>
    </row>
    <row r="295" spans="2:8" x14ac:dyDescent="0.25">
      <c r="B295"/>
      <c r="C295" s="1" t="s">
        <v>7</v>
      </c>
      <c r="D295" s="6" t="s">
        <v>68</v>
      </c>
      <c r="E295">
        <v>1.25</v>
      </c>
      <c r="F295"/>
      <c r="H295" s="4"/>
    </row>
    <row r="296" spans="2:8" x14ac:dyDescent="0.25">
      <c r="B296"/>
      <c r="C296" s="1" t="s">
        <v>53</v>
      </c>
      <c r="D296" s="6" t="s">
        <v>69</v>
      </c>
      <c r="E296">
        <v>1</v>
      </c>
      <c r="F296"/>
      <c r="H296" s="4"/>
    </row>
    <row r="297" spans="2:8" x14ac:dyDescent="0.25">
      <c r="B297"/>
      <c r="C297" s="1" t="s">
        <v>54</v>
      </c>
      <c r="D297" s="6" t="s">
        <v>64</v>
      </c>
      <c r="E297">
        <v>1.5</v>
      </c>
      <c r="F297"/>
      <c r="H297" s="4"/>
    </row>
    <row r="298" spans="2:8" x14ac:dyDescent="0.25">
      <c r="B298"/>
      <c r="C298" s="1" t="s">
        <v>51</v>
      </c>
      <c r="D298" s="6" t="s">
        <v>64</v>
      </c>
      <c r="E298">
        <v>1.5</v>
      </c>
      <c r="F298"/>
      <c r="H298" s="4"/>
    </row>
    <row r="299" spans="2:8" x14ac:dyDescent="0.25">
      <c r="B299"/>
      <c r="C299" s="1" t="s">
        <v>52</v>
      </c>
      <c r="D299" s="6" t="s">
        <v>64</v>
      </c>
      <c r="E299">
        <v>1.5</v>
      </c>
      <c r="F299"/>
      <c r="H299" s="4"/>
    </row>
    <row r="300" spans="2:8" x14ac:dyDescent="0.25">
      <c r="B300"/>
      <c r="C300" s="1" t="s">
        <v>7</v>
      </c>
      <c r="D300" s="6" t="s">
        <v>79</v>
      </c>
      <c r="E300">
        <v>0.16800000000000001</v>
      </c>
      <c r="F300"/>
      <c r="H300" s="4"/>
    </row>
    <row r="301" spans="2:8" x14ac:dyDescent="0.25">
      <c r="B301"/>
      <c r="C301" s="1" t="s">
        <v>53</v>
      </c>
      <c r="D301" s="6" t="s">
        <v>64</v>
      </c>
      <c r="E301">
        <v>1.5</v>
      </c>
      <c r="F301"/>
      <c r="H301" s="4"/>
    </row>
    <row r="302" spans="2:8" x14ac:dyDescent="0.25">
      <c r="B302"/>
      <c r="C302" s="1" t="s">
        <v>54</v>
      </c>
      <c r="D302" s="6" t="s">
        <v>62</v>
      </c>
      <c r="E302">
        <v>2</v>
      </c>
      <c r="F302"/>
      <c r="H302" s="4"/>
    </row>
    <row r="303" spans="2:8" x14ac:dyDescent="0.25">
      <c r="B303"/>
      <c r="C303" s="1" t="s">
        <v>51</v>
      </c>
      <c r="D303" s="6" t="s">
        <v>62</v>
      </c>
      <c r="E303">
        <v>2</v>
      </c>
      <c r="F303"/>
      <c r="H303" s="4"/>
    </row>
    <row r="304" spans="2:8" x14ac:dyDescent="0.25">
      <c r="B304"/>
      <c r="C304" s="1" t="s">
        <v>52</v>
      </c>
      <c r="D304" s="6" t="s">
        <v>62</v>
      </c>
      <c r="E304">
        <v>2</v>
      </c>
      <c r="F304"/>
      <c r="H304" s="4"/>
    </row>
    <row r="305" spans="2:8" x14ac:dyDescent="0.25">
      <c r="B305"/>
      <c r="C305" s="1" t="s">
        <v>7</v>
      </c>
      <c r="D305" s="6" t="s">
        <v>64</v>
      </c>
      <c r="E305">
        <v>1.5</v>
      </c>
      <c r="F305"/>
      <c r="H305" s="4"/>
    </row>
    <row r="306" spans="2:8" x14ac:dyDescent="0.25">
      <c r="B306"/>
      <c r="C306" s="1" t="s">
        <v>53</v>
      </c>
      <c r="D306" s="6" t="s">
        <v>66</v>
      </c>
      <c r="E306">
        <v>2.2999999999999998</v>
      </c>
      <c r="F306"/>
      <c r="H306" s="4"/>
    </row>
    <row r="307" spans="2:8" x14ac:dyDescent="0.25">
      <c r="B307"/>
      <c r="C307" s="1" t="s">
        <v>54</v>
      </c>
      <c r="D307" s="6" t="s">
        <v>66</v>
      </c>
      <c r="E307">
        <v>2.2999999999999998</v>
      </c>
      <c r="F307"/>
      <c r="H307" s="4"/>
    </row>
    <row r="308" spans="2:8" x14ac:dyDescent="0.25">
      <c r="B308"/>
      <c r="C308" s="1" t="s">
        <v>51</v>
      </c>
      <c r="D308" s="6" t="s">
        <v>69</v>
      </c>
      <c r="E308">
        <v>1</v>
      </c>
      <c r="F308"/>
      <c r="H308" s="4"/>
    </row>
    <row r="309" spans="2:8" x14ac:dyDescent="0.25">
      <c r="B309"/>
      <c r="C309" s="1" t="s">
        <v>52</v>
      </c>
      <c r="D309" s="6" t="s">
        <v>62</v>
      </c>
      <c r="E309">
        <v>2</v>
      </c>
      <c r="F309"/>
      <c r="H309" s="4"/>
    </row>
    <row r="310" spans="2:8" x14ac:dyDescent="0.25">
      <c r="B310"/>
      <c r="C310" s="1" t="s">
        <v>7</v>
      </c>
      <c r="D310" s="6" t="s">
        <v>69</v>
      </c>
      <c r="E310">
        <v>1</v>
      </c>
      <c r="F310"/>
      <c r="H310" s="4"/>
    </row>
    <row r="311" spans="2:8" x14ac:dyDescent="0.25">
      <c r="B311"/>
      <c r="C311" s="1" t="s">
        <v>53</v>
      </c>
      <c r="D311" s="6" t="s">
        <v>62</v>
      </c>
      <c r="E311">
        <v>2</v>
      </c>
      <c r="F311"/>
      <c r="H311" s="4"/>
    </row>
    <row r="312" spans="2:8" x14ac:dyDescent="0.25">
      <c r="B312"/>
      <c r="C312" s="1" t="s">
        <v>54</v>
      </c>
      <c r="D312" s="6" t="s">
        <v>62</v>
      </c>
      <c r="E312">
        <v>2</v>
      </c>
      <c r="F312"/>
      <c r="H312" s="4"/>
    </row>
    <row r="313" spans="2:8" x14ac:dyDescent="0.25">
      <c r="B313"/>
      <c r="C313" s="1" t="s">
        <v>51</v>
      </c>
      <c r="D313" s="6" t="s">
        <v>64</v>
      </c>
      <c r="E313">
        <v>1.5</v>
      </c>
      <c r="F313"/>
      <c r="H313" s="4"/>
    </row>
    <row r="314" spans="2:8" x14ac:dyDescent="0.25">
      <c r="B314"/>
      <c r="C314" s="1" t="s">
        <v>52</v>
      </c>
      <c r="D314" s="6" t="s">
        <v>66</v>
      </c>
      <c r="E314">
        <v>2.2999999999999998</v>
      </c>
      <c r="F314"/>
      <c r="H314" s="4"/>
    </row>
    <row r="315" spans="2:8" x14ac:dyDescent="0.25">
      <c r="B315"/>
      <c r="C315" s="1" t="s">
        <v>7</v>
      </c>
      <c r="D315" s="6" t="s">
        <v>62</v>
      </c>
      <c r="E315">
        <v>2</v>
      </c>
      <c r="F315"/>
      <c r="H315" s="4"/>
    </row>
    <row r="316" spans="2:8" x14ac:dyDescent="0.25">
      <c r="B316"/>
      <c r="C316" s="1" t="s">
        <v>53</v>
      </c>
      <c r="D316" s="6" t="s">
        <v>62</v>
      </c>
      <c r="E316">
        <v>2</v>
      </c>
      <c r="F316"/>
      <c r="H316" s="4"/>
    </row>
    <row r="317" spans="2:8" x14ac:dyDescent="0.25">
      <c r="B317"/>
      <c r="C317" s="1" t="s">
        <v>54</v>
      </c>
      <c r="D317" s="6" t="s">
        <v>66</v>
      </c>
      <c r="E317">
        <v>2.2999999999999998</v>
      </c>
      <c r="F317"/>
      <c r="H317" s="4"/>
    </row>
    <row r="318" spans="2:8" x14ac:dyDescent="0.25">
      <c r="B318"/>
      <c r="C318" s="1" t="s">
        <v>51</v>
      </c>
      <c r="D318" s="6" t="s">
        <v>69</v>
      </c>
      <c r="E318">
        <v>1</v>
      </c>
      <c r="F318"/>
      <c r="H318" s="4"/>
    </row>
    <row r="319" spans="2:8" x14ac:dyDescent="0.25">
      <c r="B319"/>
      <c r="C319" s="1" t="s">
        <v>52</v>
      </c>
      <c r="D319" s="6" t="s">
        <v>69</v>
      </c>
      <c r="E319">
        <v>1</v>
      </c>
      <c r="F319"/>
      <c r="H319" s="4"/>
    </row>
    <row r="320" spans="2:8" x14ac:dyDescent="0.25">
      <c r="B320"/>
      <c r="C320" s="1" t="s">
        <v>7</v>
      </c>
      <c r="D320" s="6" t="s">
        <v>62</v>
      </c>
      <c r="E320">
        <v>2</v>
      </c>
      <c r="F320"/>
      <c r="H320" s="4"/>
    </row>
    <row r="321" spans="2:8" x14ac:dyDescent="0.25">
      <c r="B321"/>
      <c r="C321" s="1" t="s">
        <v>53</v>
      </c>
      <c r="D321" s="6" t="s">
        <v>64</v>
      </c>
      <c r="E321">
        <v>1.5</v>
      </c>
      <c r="F321"/>
      <c r="H321" s="4"/>
    </row>
    <row r="322" spans="2:8" x14ac:dyDescent="0.25">
      <c r="B322"/>
      <c r="C322" s="1" t="s">
        <v>54</v>
      </c>
      <c r="D322" s="6" t="s">
        <v>62</v>
      </c>
      <c r="E322">
        <v>2</v>
      </c>
      <c r="F322"/>
      <c r="H322" s="4"/>
    </row>
    <row r="323" spans="2:8" x14ac:dyDescent="0.25">
      <c r="B323"/>
      <c r="C323" s="1" t="s">
        <v>51</v>
      </c>
      <c r="D323" s="6" t="s">
        <v>65</v>
      </c>
      <c r="E323">
        <v>2</v>
      </c>
      <c r="F323"/>
      <c r="H323" s="4"/>
    </row>
    <row r="324" spans="2:8" x14ac:dyDescent="0.25">
      <c r="B324"/>
      <c r="C324" s="1" t="s">
        <v>52</v>
      </c>
      <c r="D324" s="6" t="s">
        <v>64</v>
      </c>
      <c r="E324">
        <v>1.5</v>
      </c>
      <c r="F324"/>
      <c r="H324" s="4"/>
    </row>
    <row r="325" spans="2:8" x14ac:dyDescent="0.25">
      <c r="B325"/>
      <c r="C325" s="1" t="s">
        <v>7</v>
      </c>
      <c r="D325" s="6" t="s">
        <v>69</v>
      </c>
      <c r="E325">
        <v>1</v>
      </c>
      <c r="F325"/>
      <c r="H325" s="4"/>
    </row>
    <row r="326" spans="2:8" x14ac:dyDescent="0.25">
      <c r="B326"/>
      <c r="C326" s="1" t="s">
        <v>53</v>
      </c>
      <c r="D326" s="6" t="s">
        <v>65</v>
      </c>
      <c r="E326">
        <v>2</v>
      </c>
      <c r="F326"/>
      <c r="H326" s="4"/>
    </row>
    <row r="327" spans="2:8" x14ac:dyDescent="0.25">
      <c r="B327"/>
      <c r="C327" s="1" t="s">
        <v>54</v>
      </c>
      <c r="D327" s="6" t="s">
        <v>62</v>
      </c>
      <c r="E327">
        <v>2</v>
      </c>
      <c r="F327"/>
      <c r="H327" s="4"/>
    </row>
    <row r="328" spans="2:8" x14ac:dyDescent="0.25">
      <c r="B328"/>
      <c r="C328" s="1" t="s">
        <v>51</v>
      </c>
      <c r="D328" s="6" t="s">
        <v>64</v>
      </c>
      <c r="E328">
        <v>1.5</v>
      </c>
      <c r="F328"/>
      <c r="H328" s="4"/>
    </row>
    <row r="329" spans="2:8" x14ac:dyDescent="0.25">
      <c r="B329"/>
      <c r="C329" s="1" t="s">
        <v>52</v>
      </c>
      <c r="D329" s="6" t="s">
        <v>62</v>
      </c>
      <c r="E329">
        <v>2</v>
      </c>
      <c r="F329"/>
      <c r="H329" s="4"/>
    </row>
    <row r="330" spans="2:8" x14ac:dyDescent="0.25">
      <c r="B330"/>
      <c r="C330" s="1" t="s">
        <v>7</v>
      </c>
      <c r="D330" s="6" t="s">
        <v>64</v>
      </c>
      <c r="E330">
        <v>1.5</v>
      </c>
      <c r="F330"/>
      <c r="H330" s="4"/>
    </row>
    <row r="331" spans="2:8" x14ac:dyDescent="0.25">
      <c r="B331"/>
      <c r="C331" s="1" t="s">
        <v>53</v>
      </c>
      <c r="D331" s="6" t="s">
        <v>66</v>
      </c>
      <c r="E331">
        <v>2.2999999999999998</v>
      </c>
      <c r="F331"/>
      <c r="H331" s="4"/>
    </row>
    <row r="332" spans="2:8" x14ac:dyDescent="0.25">
      <c r="B332"/>
      <c r="C332" s="1" t="s">
        <v>54</v>
      </c>
      <c r="D332" s="6" t="s">
        <v>69</v>
      </c>
      <c r="E332">
        <v>1</v>
      </c>
      <c r="F332"/>
      <c r="H332" s="4"/>
    </row>
    <row r="333" spans="2:8" x14ac:dyDescent="0.25">
      <c r="B333"/>
      <c r="C333" s="1" t="s">
        <v>51</v>
      </c>
      <c r="D333" s="6" t="s">
        <v>69</v>
      </c>
      <c r="E333">
        <v>1</v>
      </c>
      <c r="F333"/>
      <c r="H333" s="4"/>
    </row>
    <row r="334" spans="2:8" x14ac:dyDescent="0.25">
      <c r="B334"/>
      <c r="C334" s="1" t="s">
        <v>52</v>
      </c>
      <c r="D334" s="6" t="s">
        <v>66</v>
      </c>
      <c r="E334">
        <v>2.2999999999999998</v>
      </c>
      <c r="F334"/>
      <c r="H334" s="4"/>
    </row>
    <row r="335" spans="2:8" x14ac:dyDescent="0.25">
      <c r="B335"/>
      <c r="C335" s="1" t="s">
        <v>7</v>
      </c>
      <c r="D335" s="6" t="s">
        <v>65</v>
      </c>
      <c r="E335">
        <v>2</v>
      </c>
      <c r="F335"/>
      <c r="H335" s="4"/>
    </row>
    <row r="336" spans="2:8" x14ac:dyDescent="0.25">
      <c r="B336"/>
      <c r="C336" s="1" t="s">
        <v>53</v>
      </c>
      <c r="D336" s="6" t="s">
        <v>62</v>
      </c>
      <c r="E336">
        <v>2</v>
      </c>
      <c r="F336"/>
      <c r="H336" s="4"/>
    </row>
    <row r="337" spans="2:8" x14ac:dyDescent="0.25">
      <c r="B337"/>
      <c r="C337" s="1" t="s">
        <v>54</v>
      </c>
      <c r="D337" s="6" t="s">
        <v>62</v>
      </c>
      <c r="E337">
        <v>2</v>
      </c>
      <c r="F337"/>
      <c r="H337" s="4"/>
    </row>
    <row r="338" spans="2:8" x14ac:dyDescent="0.25">
      <c r="B338"/>
      <c r="C338" s="1" t="s">
        <v>51</v>
      </c>
      <c r="D338" s="6" t="s">
        <v>64</v>
      </c>
      <c r="E338">
        <v>1.5</v>
      </c>
      <c r="F338"/>
      <c r="H338" s="4"/>
    </row>
    <row r="339" spans="2:8" x14ac:dyDescent="0.25">
      <c r="B339"/>
      <c r="C339" s="1" t="s">
        <v>52</v>
      </c>
      <c r="D339" s="6" t="s">
        <v>75</v>
      </c>
      <c r="E339">
        <v>16</v>
      </c>
      <c r="F339"/>
      <c r="H339" s="4"/>
    </row>
    <row r="340" spans="2:8" x14ac:dyDescent="0.25">
      <c r="B340"/>
      <c r="C340" s="1" t="s">
        <v>7</v>
      </c>
      <c r="D340" s="6" t="s">
        <v>75</v>
      </c>
      <c r="E340">
        <v>16</v>
      </c>
      <c r="F340"/>
      <c r="H340" s="4"/>
    </row>
    <row r="341" spans="2:8" x14ac:dyDescent="0.25">
      <c r="B341"/>
      <c r="C341" s="1" t="s">
        <v>53</v>
      </c>
      <c r="D341" s="6" t="s">
        <v>75</v>
      </c>
      <c r="E341">
        <v>16</v>
      </c>
      <c r="F341"/>
      <c r="H341" s="4"/>
    </row>
    <row r="342" spans="2:8" x14ac:dyDescent="0.25">
      <c r="B342"/>
      <c r="C342" s="1" t="s">
        <v>54</v>
      </c>
      <c r="D342" s="6" t="s">
        <v>75</v>
      </c>
      <c r="E342">
        <v>16</v>
      </c>
      <c r="F342"/>
      <c r="H342" s="4"/>
    </row>
    <row r="343" spans="2:8" x14ac:dyDescent="0.25">
      <c r="B343"/>
      <c r="C343" s="1" t="s">
        <v>51</v>
      </c>
      <c r="D343" s="6" t="s">
        <v>80</v>
      </c>
      <c r="E343">
        <v>5.5</v>
      </c>
      <c r="F343"/>
      <c r="H343" s="4"/>
    </row>
    <row r="344" spans="2:8" x14ac:dyDescent="0.25">
      <c r="B344"/>
      <c r="C344" s="1" t="s">
        <v>52</v>
      </c>
      <c r="D344" s="6" t="s">
        <v>75</v>
      </c>
      <c r="E344">
        <v>16</v>
      </c>
      <c r="F344"/>
      <c r="H344" s="4"/>
    </row>
    <row r="345" spans="2:8" x14ac:dyDescent="0.25">
      <c r="B345"/>
      <c r="C345" s="1" t="s">
        <v>7</v>
      </c>
      <c r="D345" s="6" t="s">
        <v>75</v>
      </c>
      <c r="E345">
        <v>16</v>
      </c>
      <c r="F345"/>
      <c r="H345" s="4"/>
    </row>
    <row r="346" spans="2:8" x14ac:dyDescent="0.25">
      <c r="B346"/>
      <c r="C346" s="1" t="s">
        <v>53</v>
      </c>
      <c r="D346" s="6" t="s">
        <v>62</v>
      </c>
      <c r="E346">
        <v>2</v>
      </c>
      <c r="F346"/>
      <c r="H346" s="4"/>
    </row>
    <row r="347" spans="2:8" x14ac:dyDescent="0.25">
      <c r="B347"/>
      <c r="C347" s="1" t="s">
        <v>54</v>
      </c>
      <c r="D347" s="6" t="s">
        <v>62</v>
      </c>
      <c r="E347">
        <v>2</v>
      </c>
      <c r="F347"/>
      <c r="H347" s="4"/>
    </row>
    <row r="348" spans="2:8" x14ac:dyDescent="0.25">
      <c r="B348"/>
      <c r="C348" s="1" t="s">
        <v>51</v>
      </c>
      <c r="D348" s="6" t="s">
        <v>62</v>
      </c>
      <c r="E348">
        <v>2</v>
      </c>
      <c r="F348"/>
      <c r="H348" s="4"/>
    </row>
    <row r="349" spans="2:8" x14ac:dyDescent="0.25">
      <c r="B349"/>
      <c r="C349" s="1" t="s">
        <v>52</v>
      </c>
      <c r="D349" s="6" t="s">
        <v>64</v>
      </c>
      <c r="E349">
        <v>1.5</v>
      </c>
      <c r="F349"/>
      <c r="H349" s="4"/>
    </row>
    <row r="350" spans="2:8" x14ac:dyDescent="0.25">
      <c r="B350"/>
      <c r="C350" s="1" t="s">
        <v>7</v>
      </c>
      <c r="D350" s="6" t="s">
        <v>64</v>
      </c>
      <c r="E350">
        <v>1.5</v>
      </c>
      <c r="F350"/>
      <c r="H350" s="4"/>
    </row>
    <row r="351" spans="2:8" x14ac:dyDescent="0.25">
      <c r="B351"/>
      <c r="C351" s="1" t="s">
        <v>53</v>
      </c>
      <c r="D351" s="6" t="s">
        <v>64</v>
      </c>
      <c r="E351">
        <v>1.5</v>
      </c>
      <c r="F351"/>
      <c r="H351" s="4"/>
    </row>
    <row r="352" spans="2:8" x14ac:dyDescent="0.25">
      <c r="B352"/>
      <c r="C352" s="1" t="s">
        <v>54</v>
      </c>
      <c r="D352" s="6" t="s">
        <v>64</v>
      </c>
      <c r="E352">
        <v>1.5</v>
      </c>
      <c r="F352"/>
      <c r="H352" s="4"/>
    </row>
    <row r="353" spans="2:8" x14ac:dyDescent="0.25">
      <c r="B353"/>
      <c r="C353" s="1" t="s">
        <v>51</v>
      </c>
      <c r="D353" s="6" t="s">
        <v>64</v>
      </c>
      <c r="E353">
        <v>1.5</v>
      </c>
      <c r="F353"/>
      <c r="H353" s="4"/>
    </row>
    <row r="354" spans="2:8" x14ac:dyDescent="0.25">
      <c r="B354"/>
      <c r="C354" s="1" t="s">
        <v>52</v>
      </c>
      <c r="D354" s="6" t="s">
        <v>62</v>
      </c>
      <c r="E354">
        <v>2</v>
      </c>
      <c r="F354"/>
      <c r="H354" s="4"/>
    </row>
    <row r="355" spans="2:8" x14ac:dyDescent="0.25">
      <c r="B355"/>
      <c r="C355" s="1" t="s">
        <v>7</v>
      </c>
      <c r="D355" s="6" t="s">
        <v>62</v>
      </c>
      <c r="E355">
        <v>2</v>
      </c>
      <c r="F355"/>
      <c r="H355" s="4"/>
    </row>
    <row r="356" spans="2:8" x14ac:dyDescent="0.25">
      <c r="B356"/>
      <c r="C356" s="1" t="s">
        <v>53</v>
      </c>
      <c r="D356" s="6" t="s">
        <v>66</v>
      </c>
      <c r="E356">
        <v>2.2999999999999998</v>
      </c>
      <c r="F356"/>
      <c r="H356" s="4"/>
    </row>
    <row r="357" spans="2:8" x14ac:dyDescent="0.25">
      <c r="B357"/>
      <c r="C357" s="1" t="s">
        <v>54</v>
      </c>
      <c r="D357" s="6" t="s">
        <v>66</v>
      </c>
      <c r="E357">
        <v>2.2999999999999998</v>
      </c>
      <c r="F357"/>
      <c r="H357" s="4"/>
    </row>
    <row r="358" spans="2:8" x14ac:dyDescent="0.25">
      <c r="B358"/>
      <c r="C358" s="1" t="s">
        <v>51</v>
      </c>
      <c r="D358" s="6" t="s">
        <v>62</v>
      </c>
      <c r="E358">
        <v>2</v>
      </c>
      <c r="F358"/>
      <c r="H358" s="4"/>
    </row>
    <row r="359" spans="2:8" x14ac:dyDescent="0.25">
      <c r="B359"/>
      <c r="C359" s="1" t="s">
        <v>52</v>
      </c>
      <c r="D359" s="6" t="s">
        <v>62</v>
      </c>
      <c r="E359">
        <v>2</v>
      </c>
      <c r="F359"/>
      <c r="H359" s="4"/>
    </row>
    <row r="360" spans="2:8" x14ac:dyDescent="0.25">
      <c r="B360"/>
      <c r="C360" s="1" t="s">
        <v>7</v>
      </c>
      <c r="D360" s="6" t="s">
        <v>65</v>
      </c>
      <c r="E360">
        <v>2</v>
      </c>
      <c r="F360"/>
      <c r="H360" s="4"/>
    </row>
    <row r="361" spans="2:8" x14ac:dyDescent="0.25">
      <c r="B361"/>
      <c r="C361" s="1" t="s">
        <v>53</v>
      </c>
      <c r="D361" s="6" t="s">
        <v>62</v>
      </c>
      <c r="E361">
        <v>2</v>
      </c>
      <c r="F361"/>
      <c r="H361" s="4"/>
    </row>
    <row r="362" spans="2:8" x14ac:dyDescent="0.25">
      <c r="B362"/>
      <c r="C362" s="1" t="s">
        <v>54</v>
      </c>
      <c r="D362" s="6" t="s">
        <v>62</v>
      </c>
      <c r="E362">
        <v>2</v>
      </c>
      <c r="F362"/>
      <c r="H362" s="4"/>
    </row>
    <row r="363" spans="2:8" x14ac:dyDescent="0.25">
      <c r="B363"/>
      <c r="C363" s="1" t="s">
        <v>51</v>
      </c>
      <c r="D363" s="6" t="s">
        <v>62</v>
      </c>
      <c r="E363">
        <v>2</v>
      </c>
      <c r="F363"/>
      <c r="H363" s="4"/>
    </row>
    <row r="364" spans="2:8" x14ac:dyDescent="0.25">
      <c r="B364"/>
      <c r="C364" s="1" t="s">
        <v>52</v>
      </c>
      <c r="D364" s="6" t="s">
        <v>64</v>
      </c>
      <c r="E364">
        <v>1.5</v>
      </c>
      <c r="F364"/>
      <c r="H364" s="4"/>
    </row>
    <row r="365" spans="2:8" x14ac:dyDescent="0.25">
      <c r="B365"/>
      <c r="C365" s="1" t="s">
        <v>7</v>
      </c>
      <c r="D365" s="6" t="s">
        <v>62</v>
      </c>
      <c r="E365">
        <v>2</v>
      </c>
      <c r="F365"/>
      <c r="H365" s="4"/>
    </row>
    <row r="366" spans="2:8" x14ac:dyDescent="0.25">
      <c r="B366"/>
      <c r="C366" s="1" t="s">
        <v>53</v>
      </c>
      <c r="D366" s="6" t="s">
        <v>64</v>
      </c>
      <c r="E366">
        <v>1.5</v>
      </c>
      <c r="F366"/>
      <c r="H366" s="4"/>
    </row>
    <row r="367" spans="2:8" x14ac:dyDescent="0.25">
      <c r="B367"/>
      <c r="C367" s="1" t="s">
        <v>54</v>
      </c>
      <c r="D367" s="6" t="s">
        <v>64</v>
      </c>
      <c r="E367">
        <v>1.5</v>
      </c>
      <c r="F367"/>
      <c r="H367" s="4"/>
    </row>
    <row r="368" spans="2:8" x14ac:dyDescent="0.25">
      <c r="B368"/>
      <c r="C368" s="1" t="s">
        <v>51</v>
      </c>
      <c r="D368" s="6" t="s">
        <v>62</v>
      </c>
      <c r="E368">
        <v>2</v>
      </c>
      <c r="F368"/>
      <c r="H368" s="4"/>
    </row>
    <row r="369" spans="2:8" x14ac:dyDescent="0.25">
      <c r="B369"/>
      <c r="C369" s="1" t="s">
        <v>52</v>
      </c>
      <c r="D369" s="6" t="s">
        <v>68</v>
      </c>
      <c r="E369">
        <v>1.25</v>
      </c>
      <c r="F369"/>
      <c r="H369" s="4"/>
    </row>
    <row r="370" spans="2:8" x14ac:dyDescent="0.25">
      <c r="B370"/>
      <c r="C370" s="1" t="s">
        <v>7</v>
      </c>
      <c r="D370" s="6" t="s">
        <v>62</v>
      </c>
      <c r="E370">
        <v>2</v>
      </c>
      <c r="F370"/>
      <c r="H370" s="4"/>
    </row>
    <row r="371" spans="2:8" x14ac:dyDescent="0.25">
      <c r="B371"/>
      <c r="C371" s="1" t="s">
        <v>53</v>
      </c>
      <c r="D371" s="6" t="s">
        <v>62</v>
      </c>
      <c r="E371">
        <v>2</v>
      </c>
      <c r="F371"/>
      <c r="H371" s="4"/>
    </row>
    <row r="372" spans="2:8" x14ac:dyDescent="0.25">
      <c r="B372"/>
      <c r="C372" s="1" t="s">
        <v>54</v>
      </c>
      <c r="D372" s="6" t="s">
        <v>62</v>
      </c>
      <c r="E372">
        <v>2</v>
      </c>
      <c r="F372"/>
      <c r="H372" s="4"/>
    </row>
    <row r="373" spans="2:8" x14ac:dyDescent="0.25">
      <c r="B373"/>
      <c r="C373" s="1" t="s">
        <v>51</v>
      </c>
      <c r="D373" s="6" t="s">
        <v>73</v>
      </c>
      <c r="E373">
        <v>0.5</v>
      </c>
      <c r="F373"/>
      <c r="H373" s="4"/>
    </row>
    <row r="374" spans="2:8" x14ac:dyDescent="0.25">
      <c r="B374"/>
      <c r="C374" s="1" t="s">
        <v>52</v>
      </c>
      <c r="D374" s="6" t="s">
        <v>67</v>
      </c>
      <c r="E374">
        <v>3</v>
      </c>
      <c r="F374"/>
      <c r="H374" s="4"/>
    </row>
    <row r="375" spans="2:8" x14ac:dyDescent="0.25">
      <c r="B375"/>
      <c r="C375" s="1" t="s">
        <v>7</v>
      </c>
      <c r="D375" s="6" t="s">
        <v>62</v>
      </c>
      <c r="E375">
        <v>2</v>
      </c>
      <c r="F375"/>
      <c r="H375" s="4"/>
    </row>
    <row r="376" spans="2:8" x14ac:dyDescent="0.25">
      <c r="B376"/>
      <c r="C376" s="1" t="s">
        <v>53</v>
      </c>
      <c r="D376" s="6" t="s">
        <v>64</v>
      </c>
      <c r="E376">
        <v>1.5</v>
      </c>
      <c r="F376"/>
      <c r="H376" s="4"/>
    </row>
    <row r="377" spans="2:8" x14ac:dyDescent="0.25">
      <c r="B377"/>
      <c r="C377" s="1" t="s">
        <v>54</v>
      </c>
      <c r="D377" s="6" t="s">
        <v>65</v>
      </c>
      <c r="E377">
        <v>2</v>
      </c>
      <c r="F377"/>
      <c r="H377" s="4"/>
    </row>
    <row r="378" spans="2:8" x14ac:dyDescent="0.25">
      <c r="B378"/>
      <c r="C378" s="1" t="s">
        <v>51</v>
      </c>
      <c r="D378" s="6" t="s">
        <v>69</v>
      </c>
      <c r="E378">
        <v>1</v>
      </c>
      <c r="F378"/>
      <c r="H378" s="4"/>
    </row>
    <row r="379" spans="2:8" x14ac:dyDescent="0.25">
      <c r="B379"/>
      <c r="C379" s="1" t="s">
        <v>52</v>
      </c>
      <c r="D379" s="6" t="s">
        <v>62</v>
      </c>
      <c r="E379">
        <v>2</v>
      </c>
      <c r="F379"/>
      <c r="H379" s="4"/>
    </row>
    <row r="380" spans="2:8" x14ac:dyDescent="0.25">
      <c r="B380"/>
      <c r="C380" s="1" t="s">
        <v>7</v>
      </c>
      <c r="D380" s="6" t="s">
        <v>81</v>
      </c>
      <c r="E380">
        <v>0.57999999999999996</v>
      </c>
      <c r="F380"/>
      <c r="H380" s="4"/>
    </row>
    <row r="381" spans="2:8" x14ac:dyDescent="0.25">
      <c r="B381"/>
      <c r="C381" s="1" t="s">
        <v>53</v>
      </c>
      <c r="D381" s="6" t="s">
        <v>62</v>
      </c>
      <c r="E381">
        <v>2</v>
      </c>
      <c r="F381"/>
      <c r="H381" s="4"/>
    </row>
    <row r="382" spans="2:8" x14ac:dyDescent="0.25">
      <c r="B382"/>
      <c r="C382" s="1" t="s">
        <v>54</v>
      </c>
      <c r="D382" s="6" t="s">
        <v>65</v>
      </c>
      <c r="E382">
        <v>2</v>
      </c>
      <c r="F382"/>
      <c r="H382" s="4"/>
    </row>
    <row r="383" spans="2:8" x14ac:dyDescent="0.25">
      <c r="B383"/>
      <c r="C383" s="1" t="s">
        <v>51</v>
      </c>
      <c r="D383" s="6" t="s">
        <v>65</v>
      </c>
      <c r="E383">
        <v>2</v>
      </c>
      <c r="F383"/>
      <c r="H383" s="4"/>
    </row>
    <row r="384" spans="2:8" x14ac:dyDescent="0.25">
      <c r="B384"/>
      <c r="C384" s="1" t="s">
        <v>52</v>
      </c>
      <c r="D384" s="6" t="s">
        <v>64</v>
      </c>
      <c r="E384">
        <v>1.5</v>
      </c>
      <c r="F384"/>
      <c r="H384" s="4"/>
    </row>
    <row r="385" spans="2:8" x14ac:dyDescent="0.25">
      <c r="B385"/>
      <c r="C385" s="1" t="s">
        <v>7</v>
      </c>
      <c r="D385" s="6" t="s">
        <v>64</v>
      </c>
      <c r="E385">
        <v>1.5</v>
      </c>
      <c r="F385"/>
      <c r="H385" s="4"/>
    </row>
    <row r="386" spans="2:8" x14ac:dyDescent="0.25">
      <c r="B386"/>
      <c r="C386" s="1" t="s">
        <v>53</v>
      </c>
      <c r="D386" s="6" t="s">
        <v>64</v>
      </c>
      <c r="E386">
        <v>1.5</v>
      </c>
      <c r="F386"/>
      <c r="H386" s="4"/>
    </row>
    <row r="387" spans="2:8" x14ac:dyDescent="0.25">
      <c r="B387"/>
      <c r="C387" s="1" t="s">
        <v>54</v>
      </c>
      <c r="D387" s="6" t="s">
        <v>62</v>
      </c>
      <c r="E387">
        <v>2</v>
      </c>
      <c r="F387"/>
      <c r="H387" s="4"/>
    </row>
    <row r="388" spans="2:8" x14ac:dyDescent="0.25">
      <c r="B388"/>
      <c r="C388" s="1" t="s">
        <v>51</v>
      </c>
      <c r="D388" s="6" t="s">
        <v>62</v>
      </c>
      <c r="E388">
        <v>2</v>
      </c>
      <c r="F388"/>
      <c r="H388" s="4"/>
    </row>
    <row r="389" spans="2:8" x14ac:dyDescent="0.25">
      <c r="B389"/>
      <c r="C389" s="1" t="s">
        <v>52</v>
      </c>
      <c r="D389" s="6" t="s">
        <v>62</v>
      </c>
      <c r="E389">
        <v>2</v>
      </c>
      <c r="F389"/>
      <c r="H389" s="4"/>
    </row>
    <row r="390" spans="2:8" x14ac:dyDescent="0.25">
      <c r="B390"/>
      <c r="C390" s="1" t="s">
        <v>7</v>
      </c>
      <c r="D390" s="6" t="s">
        <v>62</v>
      </c>
      <c r="E390">
        <v>2</v>
      </c>
      <c r="F390"/>
      <c r="H390" s="4"/>
    </row>
    <row r="391" spans="2:8" x14ac:dyDescent="0.25">
      <c r="B391"/>
      <c r="C391" s="1" t="s">
        <v>53</v>
      </c>
      <c r="D391" s="6" t="s">
        <v>65</v>
      </c>
      <c r="E391">
        <v>2</v>
      </c>
      <c r="F391"/>
      <c r="H391" s="4"/>
    </row>
    <row r="392" spans="2:8" x14ac:dyDescent="0.25">
      <c r="B392"/>
      <c r="C392" s="1" t="s">
        <v>54</v>
      </c>
      <c r="D392" s="6" t="s">
        <v>69</v>
      </c>
      <c r="E392">
        <v>1</v>
      </c>
      <c r="F392"/>
      <c r="H392" s="4"/>
    </row>
    <row r="393" spans="2:8" x14ac:dyDescent="0.25">
      <c r="B393"/>
      <c r="C393" s="1" t="s">
        <v>51</v>
      </c>
      <c r="D393" s="6" t="s">
        <v>69</v>
      </c>
      <c r="E393">
        <v>1</v>
      </c>
      <c r="F393"/>
      <c r="H393" s="4"/>
    </row>
    <row r="394" spans="2:8" x14ac:dyDescent="0.25">
      <c r="B394"/>
      <c r="C394" s="1" t="s">
        <v>52</v>
      </c>
      <c r="D394" s="6" t="s">
        <v>69</v>
      </c>
      <c r="E394">
        <v>1</v>
      </c>
      <c r="F394"/>
      <c r="H394" s="4"/>
    </row>
    <row r="395" spans="2:8" x14ac:dyDescent="0.25">
      <c r="B395"/>
      <c r="C395" s="1" t="s">
        <v>7</v>
      </c>
      <c r="D395" s="6" t="s">
        <v>62</v>
      </c>
      <c r="E395">
        <v>2</v>
      </c>
      <c r="F395"/>
      <c r="H395" s="4"/>
    </row>
    <row r="396" spans="2:8" x14ac:dyDescent="0.25">
      <c r="B396"/>
      <c r="C396" s="1" t="s">
        <v>53</v>
      </c>
      <c r="D396" s="6" t="s">
        <v>62</v>
      </c>
      <c r="E396">
        <v>2</v>
      </c>
      <c r="F396"/>
      <c r="H396" s="4"/>
    </row>
    <row r="397" spans="2:8" x14ac:dyDescent="0.25">
      <c r="B397"/>
      <c r="C397" s="1" t="s">
        <v>54</v>
      </c>
      <c r="D397" s="6" t="s">
        <v>62</v>
      </c>
      <c r="E397">
        <v>2</v>
      </c>
      <c r="F397"/>
      <c r="H397" s="4"/>
    </row>
    <row r="398" spans="2:8" x14ac:dyDescent="0.25">
      <c r="B398"/>
      <c r="C398" s="1" t="s">
        <v>51</v>
      </c>
      <c r="D398" s="6" t="s">
        <v>62</v>
      </c>
      <c r="E398">
        <v>2</v>
      </c>
      <c r="F398"/>
      <c r="H398" s="4"/>
    </row>
    <row r="399" spans="2:8" x14ac:dyDescent="0.25">
      <c r="B399"/>
      <c r="C399" s="1" t="s">
        <v>52</v>
      </c>
      <c r="D399" s="6" t="s">
        <v>63</v>
      </c>
      <c r="E399">
        <v>1</v>
      </c>
      <c r="F399"/>
      <c r="H399" s="4"/>
    </row>
    <row r="400" spans="2:8" x14ac:dyDescent="0.25">
      <c r="B400"/>
      <c r="C400" s="1" t="s">
        <v>7</v>
      </c>
      <c r="D400" s="6" t="s">
        <v>62</v>
      </c>
      <c r="E400">
        <v>2</v>
      </c>
      <c r="F400"/>
      <c r="H400" s="4"/>
    </row>
    <row r="401" spans="2:8" x14ac:dyDescent="0.25">
      <c r="B401"/>
      <c r="C401" s="1" t="s">
        <v>53</v>
      </c>
      <c r="D401" s="6" t="s">
        <v>73</v>
      </c>
      <c r="E401">
        <v>0.5</v>
      </c>
      <c r="F401"/>
      <c r="H401" s="4"/>
    </row>
    <row r="402" spans="2:8" x14ac:dyDescent="0.25">
      <c r="B402"/>
      <c r="C402" s="1" t="s">
        <v>54</v>
      </c>
      <c r="D402" s="6" t="s">
        <v>63</v>
      </c>
      <c r="E402">
        <v>1</v>
      </c>
      <c r="F402"/>
      <c r="H402" s="4"/>
    </row>
    <row r="403" spans="2:8" x14ac:dyDescent="0.25">
      <c r="B403"/>
      <c r="C403" s="1" t="s">
        <v>51</v>
      </c>
      <c r="D403" s="6" t="s">
        <v>62</v>
      </c>
      <c r="E403">
        <v>2</v>
      </c>
      <c r="F403"/>
      <c r="H403" s="4"/>
    </row>
    <row r="404" spans="2:8" x14ac:dyDescent="0.25">
      <c r="B404"/>
      <c r="C404" s="1" t="s">
        <v>52</v>
      </c>
      <c r="D404" s="6" t="s">
        <v>67</v>
      </c>
      <c r="E404">
        <v>3</v>
      </c>
      <c r="F404"/>
      <c r="H404" s="4"/>
    </row>
    <row r="405" spans="2:8" x14ac:dyDescent="0.25">
      <c r="B405"/>
      <c r="C405" s="1" t="s">
        <v>7</v>
      </c>
      <c r="D405" s="6" t="s">
        <v>62</v>
      </c>
      <c r="E405">
        <v>2</v>
      </c>
      <c r="F405"/>
      <c r="H405" s="4"/>
    </row>
    <row r="406" spans="2:8" x14ac:dyDescent="0.25">
      <c r="B406"/>
      <c r="C406" s="1" t="s">
        <v>53</v>
      </c>
      <c r="D406" s="6" t="s">
        <v>68</v>
      </c>
      <c r="E406">
        <v>1.25</v>
      </c>
      <c r="F406"/>
      <c r="H406" s="4"/>
    </row>
    <row r="407" spans="2:8" x14ac:dyDescent="0.25">
      <c r="B407"/>
      <c r="C407" s="1" t="s">
        <v>54</v>
      </c>
      <c r="D407" s="6" t="s">
        <v>69</v>
      </c>
      <c r="E407">
        <v>1</v>
      </c>
      <c r="F407"/>
      <c r="H407" s="4"/>
    </row>
    <row r="408" spans="2:8" x14ac:dyDescent="0.25">
      <c r="B408"/>
      <c r="C408" s="1" t="s">
        <v>51</v>
      </c>
      <c r="D408" s="6" t="s">
        <v>62</v>
      </c>
      <c r="E408">
        <v>2</v>
      </c>
      <c r="F408"/>
      <c r="H408" s="4"/>
    </row>
    <row r="409" spans="2:8" x14ac:dyDescent="0.25">
      <c r="B409"/>
      <c r="C409" s="1" t="s">
        <v>52</v>
      </c>
      <c r="D409" s="6" t="s">
        <v>70</v>
      </c>
      <c r="E409">
        <v>15</v>
      </c>
      <c r="F409"/>
      <c r="H409" s="4"/>
    </row>
    <row r="410" spans="2:8" x14ac:dyDescent="0.25">
      <c r="B410"/>
      <c r="C410" s="1" t="s">
        <v>7</v>
      </c>
      <c r="D410" s="6" t="s">
        <v>70</v>
      </c>
      <c r="E410">
        <v>15</v>
      </c>
      <c r="F410"/>
      <c r="H410" s="4"/>
    </row>
    <row r="411" spans="2:8" x14ac:dyDescent="0.25">
      <c r="B411"/>
      <c r="C411" s="1" t="s">
        <v>53</v>
      </c>
      <c r="D411" s="6" t="s">
        <v>65</v>
      </c>
      <c r="E411">
        <v>2</v>
      </c>
      <c r="F411"/>
      <c r="H411" s="4"/>
    </row>
    <row r="412" spans="2:8" x14ac:dyDescent="0.25">
      <c r="B412"/>
      <c r="C412" s="1" t="s">
        <v>54</v>
      </c>
      <c r="D412" s="6" t="s">
        <v>62</v>
      </c>
      <c r="E412">
        <v>2</v>
      </c>
      <c r="F412"/>
      <c r="H412" s="4"/>
    </row>
    <row r="413" spans="2:8" x14ac:dyDescent="0.25">
      <c r="B413"/>
      <c r="C413" s="1" t="s">
        <v>51</v>
      </c>
      <c r="D413" s="6" t="s">
        <v>62</v>
      </c>
      <c r="E413">
        <v>2</v>
      </c>
      <c r="F413"/>
      <c r="H413" s="4"/>
    </row>
    <row r="414" spans="2:8" x14ac:dyDescent="0.25">
      <c r="B414"/>
      <c r="C414" s="1" t="s">
        <v>52</v>
      </c>
      <c r="D414" s="6" t="s">
        <v>62</v>
      </c>
      <c r="E414">
        <v>2</v>
      </c>
      <c r="F414"/>
      <c r="H414" s="4"/>
    </row>
    <row r="415" spans="2:8" x14ac:dyDescent="0.25">
      <c r="B415"/>
      <c r="C415" s="1" t="s">
        <v>7</v>
      </c>
      <c r="D415" s="6" t="s">
        <v>64</v>
      </c>
      <c r="E415">
        <v>1.5</v>
      </c>
      <c r="F415"/>
      <c r="H415" s="4"/>
    </row>
    <row r="416" spans="2:8" x14ac:dyDescent="0.25">
      <c r="B416"/>
      <c r="C416" s="1" t="s">
        <v>53</v>
      </c>
      <c r="D416" s="6" t="s">
        <v>64</v>
      </c>
      <c r="E416">
        <v>1.5</v>
      </c>
      <c r="F416"/>
      <c r="H416" s="4"/>
    </row>
    <row r="417" spans="2:8" x14ac:dyDescent="0.25">
      <c r="B417"/>
      <c r="C417" s="1" t="s">
        <v>54</v>
      </c>
      <c r="D417" s="6" t="s">
        <v>62</v>
      </c>
      <c r="E417">
        <v>2</v>
      </c>
      <c r="F417"/>
      <c r="H417" s="4"/>
    </row>
    <row r="418" spans="2:8" x14ac:dyDescent="0.25">
      <c r="B418"/>
      <c r="C418" s="1" t="s">
        <v>51</v>
      </c>
      <c r="D418" s="6" t="s">
        <v>64</v>
      </c>
      <c r="E418">
        <v>1.5</v>
      </c>
      <c r="F418"/>
      <c r="H418" s="4"/>
    </row>
    <row r="419" spans="2:8" x14ac:dyDescent="0.25">
      <c r="B419"/>
      <c r="C419" s="1" t="s">
        <v>52</v>
      </c>
      <c r="D419" s="6" t="s">
        <v>70</v>
      </c>
      <c r="E419">
        <v>15</v>
      </c>
      <c r="F419"/>
      <c r="H419" s="4"/>
    </row>
    <row r="420" spans="2:8" x14ac:dyDescent="0.25">
      <c r="B420"/>
      <c r="C420" s="1" t="s">
        <v>7</v>
      </c>
      <c r="D420" s="6" t="s">
        <v>69</v>
      </c>
      <c r="E420">
        <v>1</v>
      </c>
      <c r="F420"/>
      <c r="H420" s="4"/>
    </row>
    <row r="421" spans="2:8" x14ac:dyDescent="0.25">
      <c r="B421"/>
      <c r="C421" s="1" t="s">
        <v>53</v>
      </c>
      <c r="D421" s="6" t="s">
        <v>70</v>
      </c>
      <c r="E421">
        <v>15</v>
      </c>
      <c r="F421"/>
      <c r="H421" s="4"/>
    </row>
    <row r="422" spans="2:8" x14ac:dyDescent="0.25">
      <c r="B422"/>
      <c r="C422" s="1" t="s">
        <v>54</v>
      </c>
      <c r="D422" s="6" t="s">
        <v>62</v>
      </c>
      <c r="E422">
        <v>2</v>
      </c>
      <c r="F422"/>
      <c r="H422" s="4"/>
    </row>
    <row r="423" spans="2:8" x14ac:dyDescent="0.25">
      <c r="B423"/>
      <c r="C423" s="1" t="s">
        <v>51</v>
      </c>
      <c r="D423" s="6" t="s">
        <v>66</v>
      </c>
      <c r="E423">
        <v>2.2999999999999998</v>
      </c>
      <c r="F423"/>
      <c r="H423" s="4"/>
    </row>
    <row r="424" spans="2:8" x14ac:dyDescent="0.25">
      <c r="B424"/>
      <c r="C424" s="1" t="s">
        <v>52</v>
      </c>
      <c r="D424" s="6" t="s">
        <v>66</v>
      </c>
      <c r="E424">
        <v>2.2999999999999998</v>
      </c>
      <c r="F424"/>
      <c r="H424" s="4"/>
    </row>
    <row r="425" spans="2:8" x14ac:dyDescent="0.25">
      <c r="B425"/>
      <c r="C425" s="1" t="s">
        <v>7</v>
      </c>
      <c r="D425" s="6" t="s">
        <v>62</v>
      </c>
      <c r="E425">
        <v>2</v>
      </c>
      <c r="F425"/>
      <c r="H425" s="4"/>
    </row>
    <row r="426" spans="2:8" x14ac:dyDescent="0.25">
      <c r="B426"/>
      <c r="C426" s="1" t="s">
        <v>53</v>
      </c>
      <c r="D426" s="6" t="s">
        <v>63</v>
      </c>
      <c r="E426">
        <v>1</v>
      </c>
      <c r="F426"/>
      <c r="H426" s="4"/>
    </row>
    <row r="427" spans="2:8" x14ac:dyDescent="0.25">
      <c r="B427"/>
      <c r="C427" s="1" t="s">
        <v>54</v>
      </c>
      <c r="D427" s="6" t="s">
        <v>63</v>
      </c>
      <c r="E427">
        <v>1</v>
      </c>
      <c r="F427"/>
      <c r="H427" s="4"/>
    </row>
    <row r="428" spans="2:8" x14ac:dyDescent="0.25">
      <c r="B428"/>
      <c r="C428" s="1" t="s">
        <v>51</v>
      </c>
      <c r="D428" s="6" t="s">
        <v>68</v>
      </c>
      <c r="E428">
        <v>1.25</v>
      </c>
      <c r="F428"/>
      <c r="H428" s="4"/>
    </row>
    <row r="429" spans="2:8" x14ac:dyDescent="0.25">
      <c r="B429"/>
      <c r="C429" s="1" t="s">
        <v>52</v>
      </c>
      <c r="D429" s="6" t="s">
        <v>69</v>
      </c>
      <c r="E429">
        <v>1</v>
      </c>
      <c r="F429"/>
      <c r="H429" s="4"/>
    </row>
    <row r="430" spans="2:8" x14ac:dyDescent="0.25">
      <c r="B430"/>
      <c r="C430" s="1" t="s">
        <v>7</v>
      </c>
      <c r="D430" s="6" t="s">
        <v>62</v>
      </c>
      <c r="E430">
        <v>2</v>
      </c>
      <c r="F430"/>
      <c r="H430" s="4"/>
    </row>
    <row r="431" spans="2:8" x14ac:dyDescent="0.25">
      <c r="B431"/>
      <c r="C431" s="1" t="s">
        <v>53</v>
      </c>
      <c r="D431" s="6" t="s">
        <v>63</v>
      </c>
      <c r="E431">
        <v>1</v>
      </c>
      <c r="F431"/>
      <c r="H431" s="4"/>
    </row>
    <row r="432" spans="2:8" x14ac:dyDescent="0.25">
      <c r="B432"/>
      <c r="C432" s="1" t="s">
        <v>54</v>
      </c>
      <c r="D432" s="6" t="s">
        <v>65</v>
      </c>
      <c r="E432">
        <v>2</v>
      </c>
      <c r="F432"/>
      <c r="H432" s="4"/>
    </row>
    <row r="433" spans="2:8" x14ac:dyDescent="0.25">
      <c r="B433"/>
      <c r="C433" s="1" t="s">
        <v>51</v>
      </c>
      <c r="D433" s="6" t="s">
        <v>62</v>
      </c>
      <c r="E433">
        <v>2</v>
      </c>
      <c r="F433"/>
      <c r="H433" s="4"/>
    </row>
    <row r="434" spans="2:8" x14ac:dyDescent="0.25">
      <c r="B434"/>
      <c r="C434" s="1" t="s">
        <v>52</v>
      </c>
      <c r="D434" s="6" t="s">
        <v>69</v>
      </c>
      <c r="E434">
        <v>1</v>
      </c>
      <c r="F434"/>
      <c r="H434" s="4"/>
    </row>
    <row r="435" spans="2:8" x14ac:dyDescent="0.25">
      <c r="B435"/>
      <c r="C435" s="1" t="s">
        <v>7</v>
      </c>
      <c r="D435" s="6" t="s">
        <v>64</v>
      </c>
      <c r="E435">
        <v>1.5</v>
      </c>
      <c r="F435"/>
      <c r="H435" s="4"/>
    </row>
    <row r="436" spans="2:8" x14ac:dyDescent="0.25">
      <c r="B436"/>
      <c r="C436" s="1" t="s">
        <v>53</v>
      </c>
      <c r="D436" s="6" t="s">
        <v>62</v>
      </c>
      <c r="E436">
        <v>2</v>
      </c>
      <c r="F436"/>
      <c r="H436" s="4"/>
    </row>
    <row r="437" spans="2:8" x14ac:dyDescent="0.25">
      <c r="B437"/>
      <c r="C437" s="1" t="s">
        <v>54</v>
      </c>
      <c r="D437" s="6" t="s">
        <v>82</v>
      </c>
      <c r="E437">
        <v>20</v>
      </c>
      <c r="F437"/>
      <c r="H437" s="4"/>
    </row>
    <row r="438" spans="2:8" x14ac:dyDescent="0.25">
      <c r="B438"/>
      <c r="C438" s="1" t="s">
        <v>51</v>
      </c>
      <c r="D438" s="6" t="s">
        <v>62</v>
      </c>
      <c r="E438">
        <v>2</v>
      </c>
      <c r="F438"/>
      <c r="H438" s="4"/>
    </row>
    <row r="439" spans="2:8" x14ac:dyDescent="0.25">
      <c r="B439"/>
      <c r="C439" s="1" t="s">
        <v>52</v>
      </c>
      <c r="D439" s="6" t="s">
        <v>62</v>
      </c>
      <c r="E439">
        <v>2</v>
      </c>
      <c r="F439"/>
      <c r="H439" s="4"/>
    </row>
    <row r="440" spans="2:8" x14ac:dyDescent="0.25">
      <c r="B440"/>
      <c r="C440" s="1" t="s">
        <v>7</v>
      </c>
      <c r="D440" s="6" t="s">
        <v>62</v>
      </c>
      <c r="E440">
        <v>2</v>
      </c>
      <c r="F440"/>
      <c r="H440" s="4"/>
    </row>
    <row r="441" spans="2:8" x14ac:dyDescent="0.25">
      <c r="B441"/>
      <c r="C441" s="1" t="s">
        <v>53</v>
      </c>
      <c r="D441" s="6" t="s">
        <v>66</v>
      </c>
      <c r="E441">
        <v>2.2999999999999998</v>
      </c>
      <c r="F441"/>
      <c r="H441" s="4"/>
    </row>
    <row r="442" spans="2:8" x14ac:dyDescent="0.25">
      <c r="B442"/>
      <c r="C442" s="1" t="s">
        <v>54</v>
      </c>
      <c r="D442" s="6" t="s">
        <v>62</v>
      </c>
      <c r="E442">
        <v>2</v>
      </c>
      <c r="F442"/>
      <c r="H442" s="4"/>
    </row>
    <row r="443" spans="2:8" x14ac:dyDescent="0.25">
      <c r="B443"/>
      <c r="C443" s="1" t="s">
        <v>51</v>
      </c>
      <c r="D443" s="6" t="s">
        <v>62</v>
      </c>
      <c r="E443">
        <v>2</v>
      </c>
      <c r="F443"/>
      <c r="H443" s="4"/>
    </row>
    <row r="444" spans="2:8" x14ac:dyDescent="0.25">
      <c r="B444"/>
      <c r="C444" s="1" t="s">
        <v>52</v>
      </c>
      <c r="D444" s="6" t="s">
        <v>69</v>
      </c>
      <c r="E444">
        <v>1</v>
      </c>
      <c r="F444"/>
      <c r="H444" s="4"/>
    </row>
    <row r="445" spans="2:8" x14ac:dyDescent="0.25">
      <c r="B445"/>
      <c r="C445" s="1" t="s">
        <v>7</v>
      </c>
      <c r="D445" s="6" t="s">
        <v>62</v>
      </c>
      <c r="E445">
        <v>2</v>
      </c>
      <c r="F445"/>
      <c r="H445" s="4"/>
    </row>
    <row r="446" spans="2:8" x14ac:dyDescent="0.25">
      <c r="B446"/>
      <c r="C446" s="1" t="s">
        <v>53</v>
      </c>
      <c r="D446" s="6" t="s">
        <v>62</v>
      </c>
      <c r="E446">
        <v>2</v>
      </c>
      <c r="F446"/>
      <c r="H446" s="4"/>
    </row>
    <row r="447" spans="2:8" x14ac:dyDescent="0.25">
      <c r="B447"/>
      <c r="C447" s="1" t="s">
        <v>54</v>
      </c>
      <c r="D447" s="6" t="s">
        <v>62</v>
      </c>
      <c r="E447">
        <v>2</v>
      </c>
      <c r="F447"/>
      <c r="H447" s="4"/>
    </row>
    <row r="448" spans="2:8" x14ac:dyDescent="0.25">
      <c r="B448"/>
      <c r="C448" s="1" t="s">
        <v>51</v>
      </c>
      <c r="D448" s="6" t="s">
        <v>62</v>
      </c>
      <c r="E448">
        <v>2</v>
      </c>
      <c r="F448"/>
      <c r="H448" s="4"/>
    </row>
    <row r="449" spans="2:8" x14ac:dyDescent="0.25">
      <c r="B449"/>
      <c r="C449" s="1" t="s">
        <v>52</v>
      </c>
      <c r="D449" s="6" t="s">
        <v>69</v>
      </c>
      <c r="E449">
        <v>1</v>
      </c>
      <c r="F449"/>
      <c r="H449" s="4"/>
    </row>
    <row r="450" spans="2:8" x14ac:dyDescent="0.25">
      <c r="B450"/>
      <c r="C450" s="1" t="s">
        <v>7</v>
      </c>
      <c r="D450" s="6" t="s">
        <v>64</v>
      </c>
      <c r="E450">
        <v>1.5</v>
      </c>
      <c r="F450"/>
      <c r="H450" s="4"/>
    </row>
    <row r="451" spans="2:8" x14ac:dyDescent="0.25">
      <c r="B451"/>
      <c r="C451" s="1" t="s">
        <v>53</v>
      </c>
      <c r="D451" s="6" t="s">
        <v>62</v>
      </c>
      <c r="E451">
        <v>2</v>
      </c>
      <c r="F451"/>
      <c r="H451" s="4"/>
    </row>
    <row r="452" spans="2:8" x14ac:dyDescent="0.25">
      <c r="B452"/>
      <c r="C452" s="1" t="s">
        <v>54</v>
      </c>
      <c r="D452" s="6" t="s">
        <v>62</v>
      </c>
      <c r="E452">
        <v>2</v>
      </c>
      <c r="F452"/>
      <c r="H452" s="4"/>
    </row>
    <row r="453" spans="2:8" x14ac:dyDescent="0.25">
      <c r="B453"/>
      <c r="C453" s="1" t="s">
        <v>51</v>
      </c>
      <c r="D453" s="6" t="s">
        <v>69</v>
      </c>
      <c r="E453">
        <v>1</v>
      </c>
      <c r="F453"/>
      <c r="H453" s="4"/>
    </row>
    <row r="454" spans="2:8" x14ac:dyDescent="0.25">
      <c r="B454"/>
      <c r="C454" s="1" t="s">
        <v>52</v>
      </c>
      <c r="D454" s="6" t="s">
        <v>74</v>
      </c>
      <c r="E454">
        <v>4</v>
      </c>
      <c r="F454"/>
      <c r="H454" s="4"/>
    </row>
    <row r="455" spans="2:8" x14ac:dyDescent="0.25">
      <c r="B455"/>
      <c r="C455" s="1" t="s">
        <v>7</v>
      </c>
      <c r="D455" s="6" t="s">
        <v>64</v>
      </c>
      <c r="E455">
        <v>1.5</v>
      </c>
      <c r="F455"/>
      <c r="H455" s="4"/>
    </row>
    <row r="456" spans="2:8" x14ac:dyDescent="0.25">
      <c r="B456"/>
      <c r="C456" s="1" t="s">
        <v>53</v>
      </c>
      <c r="D456" s="6" t="s">
        <v>64</v>
      </c>
      <c r="E456">
        <v>1.5</v>
      </c>
      <c r="F456"/>
      <c r="H456" s="4"/>
    </row>
    <row r="457" spans="2:8" x14ac:dyDescent="0.25">
      <c r="B457"/>
      <c r="C457" s="1" t="s">
        <v>54</v>
      </c>
      <c r="D457" s="6" t="s">
        <v>62</v>
      </c>
      <c r="E457">
        <v>2</v>
      </c>
      <c r="F457"/>
      <c r="H457" s="4"/>
    </row>
    <row r="458" spans="2:8" x14ac:dyDescent="0.25">
      <c r="B458"/>
      <c r="C458" s="1" t="s">
        <v>51</v>
      </c>
      <c r="D458" s="6" t="s">
        <v>66</v>
      </c>
      <c r="E458">
        <v>2.2999999999999998</v>
      </c>
      <c r="F458"/>
      <c r="H458" s="4"/>
    </row>
    <row r="459" spans="2:8" x14ac:dyDescent="0.25">
      <c r="B459"/>
      <c r="C459" s="1" t="s">
        <v>52</v>
      </c>
      <c r="D459" s="6" t="s">
        <v>64</v>
      </c>
      <c r="E459">
        <v>1.5</v>
      </c>
      <c r="F459"/>
      <c r="H459" s="4"/>
    </row>
    <row r="460" spans="2:8" x14ac:dyDescent="0.25">
      <c r="B460"/>
      <c r="C460" s="1" t="s">
        <v>7</v>
      </c>
      <c r="D460" s="6" t="s">
        <v>62</v>
      </c>
      <c r="E460">
        <v>2</v>
      </c>
      <c r="F460"/>
      <c r="H460" s="4"/>
    </row>
    <row r="461" spans="2:8" x14ac:dyDescent="0.25">
      <c r="B461"/>
      <c r="C461" s="1" t="s">
        <v>53</v>
      </c>
      <c r="D461" s="6" t="s">
        <v>65</v>
      </c>
      <c r="E461">
        <v>2</v>
      </c>
      <c r="F461"/>
      <c r="H461" s="4"/>
    </row>
    <row r="462" spans="2:8" x14ac:dyDescent="0.25">
      <c r="B462"/>
      <c r="C462" s="1" t="s">
        <v>54</v>
      </c>
      <c r="D462" s="6" t="s">
        <v>66</v>
      </c>
      <c r="E462">
        <v>2.2999999999999998</v>
      </c>
      <c r="F462"/>
      <c r="H462" s="4"/>
    </row>
    <row r="463" spans="2:8" x14ac:dyDescent="0.25">
      <c r="B463"/>
      <c r="C463" s="1" t="s">
        <v>51</v>
      </c>
      <c r="D463" s="6" t="s">
        <v>70</v>
      </c>
      <c r="E463">
        <v>15</v>
      </c>
      <c r="F463"/>
      <c r="H463" s="4"/>
    </row>
    <row r="464" spans="2:8" x14ac:dyDescent="0.25">
      <c r="B464"/>
      <c r="C464" s="1" t="s">
        <v>52</v>
      </c>
      <c r="D464" s="6" t="s">
        <v>62</v>
      </c>
      <c r="E464">
        <v>2</v>
      </c>
      <c r="F464"/>
      <c r="H464" s="4"/>
    </row>
    <row r="465" spans="2:8" x14ac:dyDescent="0.25">
      <c r="B465"/>
      <c r="C465" s="1" t="s">
        <v>7</v>
      </c>
      <c r="D465" s="6" t="s">
        <v>63</v>
      </c>
      <c r="E465">
        <v>1</v>
      </c>
      <c r="F465"/>
      <c r="H465" s="4"/>
    </row>
    <row r="466" spans="2:8" x14ac:dyDescent="0.25">
      <c r="B466"/>
      <c r="C466" s="1" t="s">
        <v>53</v>
      </c>
      <c r="D466" s="6" t="s">
        <v>62</v>
      </c>
      <c r="E466">
        <v>2</v>
      </c>
      <c r="F466"/>
      <c r="H466" s="4"/>
    </row>
    <row r="467" spans="2:8" x14ac:dyDescent="0.25">
      <c r="B467"/>
      <c r="C467" s="1" t="s">
        <v>54</v>
      </c>
      <c r="D467" s="6" t="s">
        <v>62</v>
      </c>
      <c r="E467">
        <v>2</v>
      </c>
      <c r="F467"/>
      <c r="H467" s="4"/>
    </row>
    <row r="468" spans="2:8" x14ac:dyDescent="0.25">
      <c r="B468"/>
      <c r="C468" s="1" t="s">
        <v>51</v>
      </c>
      <c r="D468" s="6" t="s">
        <v>69</v>
      </c>
      <c r="E468">
        <v>1</v>
      </c>
      <c r="F468"/>
      <c r="H468" s="4"/>
    </row>
    <row r="469" spans="2:8" x14ac:dyDescent="0.25">
      <c r="B469"/>
      <c r="C469" s="1" t="s">
        <v>52</v>
      </c>
      <c r="D469" s="6" t="s">
        <v>66</v>
      </c>
      <c r="E469">
        <v>2.2999999999999998</v>
      </c>
      <c r="F469"/>
      <c r="H469" s="4"/>
    </row>
    <row r="470" spans="2:8" x14ac:dyDescent="0.25">
      <c r="B470"/>
      <c r="C470" s="1" t="s">
        <v>7</v>
      </c>
      <c r="D470" s="6" t="s">
        <v>64</v>
      </c>
      <c r="E470">
        <v>1.5</v>
      </c>
      <c r="F470"/>
      <c r="H470" s="4"/>
    </row>
    <row r="471" spans="2:8" x14ac:dyDescent="0.25">
      <c r="B471"/>
      <c r="C471" s="1" t="s">
        <v>53</v>
      </c>
      <c r="D471" s="6" t="s">
        <v>63</v>
      </c>
      <c r="E471">
        <v>1</v>
      </c>
      <c r="F471"/>
      <c r="H471" s="4"/>
    </row>
    <row r="472" spans="2:8" x14ac:dyDescent="0.25">
      <c r="B472"/>
      <c r="C472" s="1" t="s">
        <v>54</v>
      </c>
      <c r="D472" s="6" t="s">
        <v>64</v>
      </c>
      <c r="E472">
        <v>1.5</v>
      </c>
      <c r="F472"/>
      <c r="H472" s="4"/>
    </row>
    <row r="473" spans="2:8" x14ac:dyDescent="0.25">
      <c r="B473"/>
      <c r="C473" s="1" t="s">
        <v>51</v>
      </c>
      <c r="D473" s="6" t="s">
        <v>67</v>
      </c>
      <c r="E473">
        <v>3</v>
      </c>
      <c r="F473"/>
      <c r="H473" s="4"/>
    </row>
    <row r="474" spans="2:8" x14ac:dyDescent="0.25">
      <c r="B474"/>
      <c r="C474" s="1" t="s">
        <v>52</v>
      </c>
      <c r="D474" s="6" t="s">
        <v>64</v>
      </c>
      <c r="E474">
        <v>1.5</v>
      </c>
      <c r="F474"/>
      <c r="H474" s="4"/>
    </row>
    <row r="475" spans="2:8" x14ac:dyDescent="0.25">
      <c r="B475"/>
      <c r="C475" s="1" t="s">
        <v>7</v>
      </c>
      <c r="D475" s="6" t="s">
        <v>64</v>
      </c>
      <c r="E475">
        <v>1.5</v>
      </c>
      <c r="F475"/>
      <c r="H475" s="4"/>
    </row>
    <row r="476" spans="2:8" x14ac:dyDescent="0.25">
      <c r="B476"/>
      <c r="C476" s="1" t="s">
        <v>53</v>
      </c>
      <c r="D476" s="6" t="s">
        <v>62</v>
      </c>
      <c r="E476">
        <v>2</v>
      </c>
      <c r="F476"/>
      <c r="H476" s="4"/>
    </row>
    <row r="477" spans="2:8" x14ac:dyDescent="0.25">
      <c r="B477"/>
      <c r="C477" s="1" t="s">
        <v>54</v>
      </c>
      <c r="D477" s="6" t="s">
        <v>64</v>
      </c>
      <c r="E477">
        <v>1.5</v>
      </c>
      <c r="F477"/>
      <c r="H477" s="4"/>
    </row>
    <row r="478" spans="2:8" x14ac:dyDescent="0.25">
      <c r="B478"/>
      <c r="C478" s="1" t="s">
        <v>51</v>
      </c>
      <c r="D478" s="6" t="s">
        <v>62</v>
      </c>
      <c r="E478">
        <v>2</v>
      </c>
      <c r="F478"/>
      <c r="H478" s="4"/>
    </row>
    <row r="479" spans="2:8" x14ac:dyDescent="0.25">
      <c r="B479"/>
      <c r="C479" s="1" t="s">
        <v>52</v>
      </c>
      <c r="D479" s="6" t="s">
        <v>64</v>
      </c>
      <c r="E479">
        <v>1.5</v>
      </c>
      <c r="F479"/>
      <c r="H479" s="4"/>
    </row>
    <row r="480" spans="2:8" x14ac:dyDescent="0.25">
      <c r="B480"/>
      <c r="C480" s="1" t="s">
        <v>7</v>
      </c>
      <c r="D480" s="6" t="s">
        <v>62</v>
      </c>
      <c r="E480">
        <v>2</v>
      </c>
      <c r="F480"/>
      <c r="H480" s="4"/>
    </row>
    <row r="481" spans="2:8" x14ac:dyDescent="0.25">
      <c r="B481"/>
      <c r="C481" s="1" t="s">
        <v>53</v>
      </c>
      <c r="D481" s="6" t="s">
        <v>62</v>
      </c>
      <c r="E481">
        <v>2</v>
      </c>
      <c r="F481"/>
      <c r="H481" s="4"/>
    </row>
    <row r="482" spans="2:8" x14ac:dyDescent="0.25">
      <c r="B482"/>
      <c r="C482" s="1" t="s">
        <v>54</v>
      </c>
      <c r="D482" s="6" t="s">
        <v>83</v>
      </c>
      <c r="E482">
        <v>0.18</v>
      </c>
      <c r="F482"/>
      <c r="H482" s="4"/>
    </row>
    <row r="483" spans="2:8" x14ac:dyDescent="0.25">
      <c r="B483"/>
      <c r="C483" s="1" t="s">
        <v>51</v>
      </c>
      <c r="D483" s="6" t="s">
        <v>62</v>
      </c>
      <c r="E483">
        <v>2</v>
      </c>
      <c r="F483"/>
      <c r="H483" s="4"/>
    </row>
    <row r="484" spans="2:8" x14ac:dyDescent="0.25">
      <c r="B484"/>
      <c r="C484" s="1" t="s">
        <v>52</v>
      </c>
      <c r="D484" s="6" t="s">
        <v>64</v>
      </c>
      <c r="E484">
        <v>1.5</v>
      </c>
      <c r="F484"/>
      <c r="H484" s="4"/>
    </row>
    <row r="485" spans="2:8" x14ac:dyDescent="0.25">
      <c r="B485"/>
      <c r="C485" s="1" t="s">
        <v>7</v>
      </c>
      <c r="D485" s="6" t="s">
        <v>62</v>
      </c>
      <c r="E485">
        <v>2</v>
      </c>
      <c r="F485"/>
      <c r="H485" s="4"/>
    </row>
    <row r="486" spans="2:8" x14ac:dyDescent="0.25">
      <c r="B486"/>
      <c r="C486" s="1" t="s">
        <v>53</v>
      </c>
      <c r="D486" s="6" t="s">
        <v>74</v>
      </c>
      <c r="E486">
        <v>4</v>
      </c>
      <c r="F486"/>
      <c r="H486" s="4"/>
    </row>
    <row r="487" spans="2:8" x14ac:dyDescent="0.25">
      <c r="B487"/>
      <c r="C487" s="1" t="s">
        <v>54</v>
      </c>
      <c r="D487" s="6" t="s">
        <v>66</v>
      </c>
      <c r="E487">
        <v>2.2999999999999998</v>
      </c>
      <c r="F487"/>
      <c r="H487" s="4"/>
    </row>
    <row r="488" spans="2:8" x14ac:dyDescent="0.25">
      <c r="B488"/>
      <c r="C488" s="1" t="s">
        <v>51</v>
      </c>
      <c r="D488" s="6" t="s">
        <v>64</v>
      </c>
      <c r="E488">
        <v>1.5</v>
      </c>
      <c r="F488"/>
      <c r="H488" s="4"/>
    </row>
    <row r="489" spans="2:8" x14ac:dyDescent="0.25">
      <c r="B489"/>
      <c r="C489" s="1" t="s">
        <v>52</v>
      </c>
      <c r="D489" s="6" t="s">
        <v>66</v>
      </c>
      <c r="E489">
        <v>2.2999999999999998</v>
      </c>
      <c r="F489"/>
      <c r="H489" s="4"/>
    </row>
    <row r="490" spans="2:8" x14ac:dyDescent="0.25">
      <c r="B490"/>
      <c r="C490" s="1" t="s">
        <v>7</v>
      </c>
      <c r="D490" s="6" t="s">
        <v>64</v>
      </c>
      <c r="E490">
        <v>1.5</v>
      </c>
      <c r="F490"/>
      <c r="H490" s="4"/>
    </row>
    <row r="491" spans="2:8" x14ac:dyDescent="0.25">
      <c r="B491"/>
      <c r="C491" s="1" t="s">
        <v>53</v>
      </c>
      <c r="D491" s="6" t="s">
        <v>62</v>
      </c>
      <c r="E491">
        <v>2</v>
      </c>
      <c r="F491"/>
      <c r="H491" s="4"/>
    </row>
    <row r="492" spans="2:8" x14ac:dyDescent="0.25">
      <c r="B492"/>
      <c r="C492" s="1" t="s">
        <v>54</v>
      </c>
      <c r="D492" s="6" t="s">
        <v>69</v>
      </c>
      <c r="E492">
        <v>1</v>
      </c>
      <c r="F492"/>
      <c r="H492" s="4"/>
    </row>
    <row r="493" spans="2:8" x14ac:dyDescent="0.25">
      <c r="B493"/>
      <c r="C493" s="1" t="s">
        <v>51</v>
      </c>
      <c r="D493" s="6" t="s">
        <v>69</v>
      </c>
      <c r="E493">
        <v>1</v>
      </c>
      <c r="F493"/>
      <c r="H493" s="4"/>
    </row>
    <row r="494" spans="2:8" x14ac:dyDescent="0.25">
      <c r="B494"/>
      <c r="C494" s="1" t="s">
        <v>52</v>
      </c>
      <c r="D494" s="6" t="s">
        <v>62</v>
      </c>
      <c r="E494">
        <v>2</v>
      </c>
      <c r="F494"/>
      <c r="H494" s="4"/>
    </row>
    <row r="495" spans="2:8" x14ac:dyDescent="0.25">
      <c r="B495"/>
      <c r="C495" s="1" t="s">
        <v>7</v>
      </c>
      <c r="D495" s="6" t="s">
        <v>62</v>
      </c>
      <c r="E495">
        <v>2</v>
      </c>
      <c r="F495"/>
      <c r="H495" s="4"/>
    </row>
    <row r="496" spans="2:8" x14ac:dyDescent="0.25">
      <c r="B496"/>
      <c r="C496" s="1" t="s">
        <v>53</v>
      </c>
      <c r="D496" s="6" t="s">
        <v>62</v>
      </c>
      <c r="E496">
        <v>2</v>
      </c>
      <c r="F496"/>
      <c r="H496" s="4"/>
    </row>
    <row r="497" spans="2:8" x14ac:dyDescent="0.25">
      <c r="B497"/>
      <c r="C497" s="1" t="s">
        <v>54</v>
      </c>
      <c r="D497" s="6" t="s">
        <v>62</v>
      </c>
      <c r="E497">
        <v>2</v>
      </c>
      <c r="F497"/>
      <c r="H497" s="4"/>
    </row>
    <row r="498" spans="2:8" x14ac:dyDescent="0.25">
      <c r="B498"/>
      <c r="C498" s="1" t="s">
        <v>51</v>
      </c>
      <c r="D498" s="6" t="s">
        <v>62</v>
      </c>
      <c r="E498">
        <v>2</v>
      </c>
      <c r="F498"/>
      <c r="H498" s="4"/>
    </row>
    <row r="499" spans="2:8" x14ac:dyDescent="0.25">
      <c r="B499"/>
      <c r="C499" s="1" t="s">
        <v>52</v>
      </c>
      <c r="D499" s="6" t="s">
        <v>64</v>
      </c>
      <c r="E499">
        <v>1.5</v>
      </c>
      <c r="F499"/>
      <c r="H499" s="4"/>
    </row>
    <row r="500" spans="2:8" x14ac:dyDescent="0.25">
      <c r="B500"/>
      <c r="C500" s="1" t="s">
        <v>7</v>
      </c>
      <c r="D500" s="6" t="s">
        <v>69</v>
      </c>
      <c r="E500">
        <v>1</v>
      </c>
      <c r="F500"/>
      <c r="H500" s="4"/>
    </row>
    <row r="501" spans="2:8" x14ac:dyDescent="0.25">
      <c r="B501"/>
      <c r="C501" s="1" t="s">
        <v>53</v>
      </c>
      <c r="D501" s="6" t="s">
        <v>62</v>
      </c>
      <c r="E501">
        <v>2</v>
      </c>
      <c r="F501"/>
      <c r="H501" s="4"/>
    </row>
    <row r="502" spans="2:8" x14ac:dyDescent="0.25">
      <c r="B502"/>
      <c r="C502" s="1" t="s">
        <v>54</v>
      </c>
      <c r="D502" s="6" t="s">
        <v>62</v>
      </c>
      <c r="E502">
        <v>2</v>
      </c>
      <c r="F502"/>
      <c r="H502" s="4"/>
    </row>
    <row r="503" spans="2:8" x14ac:dyDescent="0.25">
      <c r="B503"/>
      <c r="C503" s="1" t="s">
        <v>51</v>
      </c>
      <c r="D503" s="6" t="s">
        <v>67</v>
      </c>
      <c r="E503">
        <v>3</v>
      </c>
      <c r="F503"/>
      <c r="H503" s="4"/>
    </row>
    <row r="504" spans="2:8" x14ac:dyDescent="0.25">
      <c r="B504"/>
      <c r="C504" s="1" t="s">
        <v>52</v>
      </c>
      <c r="D504" s="6" t="s">
        <v>67</v>
      </c>
      <c r="E504">
        <v>3</v>
      </c>
      <c r="F504"/>
      <c r="H504" s="4"/>
    </row>
    <row r="505" spans="2:8" x14ac:dyDescent="0.25">
      <c r="B505"/>
      <c r="C505" s="1" t="s">
        <v>7</v>
      </c>
      <c r="D505" s="6" t="s">
        <v>62</v>
      </c>
      <c r="E505">
        <v>2</v>
      </c>
      <c r="F505"/>
      <c r="H505" s="4"/>
    </row>
    <row r="506" spans="2:8" x14ac:dyDescent="0.25">
      <c r="B506"/>
      <c r="C506" s="1" t="s">
        <v>53</v>
      </c>
      <c r="D506" s="6" t="s">
        <v>66</v>
      </c>
      <c r="E506">
        <v>2.2999999999999998</v>
      </c>
      <c r="F506"/>
      <c r="H506" s="4"/>
    </row>
    <row r="507" spans="2:8" x14ac:dyDescent="0.25">
      <c r="B507"/>
      <c r="C507" s="1" t="s">
        <v>54</v>
      </c>
      <c r="D507" s="6" t="s">
        <v>64</v>
      </c>
      <c r="E507">
        <v>1.5</v>
      </c>
      <c r="F507"/>
      <c r="H507" s="4"/>
    </row>
    <row r="508" spans="2:8" x14ac:dyDescent="0.25">
      <c r="B508"/>
      <c r="C508" s="1" t="s">
        <v>51</v>
      </c>
      <c r="D508" s="6" t="s">
        <v>65</v>
      </c>
      <c r="E508">
        <v>2</v>
      </c>
      <c r="F508"/>
      <c r="H508" s="4"/>
    </row>
    <row r="509" spans="2:8" x14ac:dyDescent="0.25">
      <c r="B509"/>
      <c r="C509" s="1" t="s">
        <v>52</v>
      </c>
      <c r="D509" s="6" t="s">
        <v>63</v>
      </c>
      <c r="E509">
        <v>1</v>
      </c>
      <c r="F509"/>
      <c r="H509" s="4"/>
    </row>
    <row r="510" spans="2:8" x14ac:dyDescent="0.25">
      <c r="B510"/>
      <c r="C510" s="1" t="s">
        <v>7</v>
      </c>
      <c r="D510" s="6" t="s">
        <v>64</v>
      </c>
      <c r="E510">
        <v>1.5</v>
      </c>
      <c r="F510"/>
      <c r="H510" s="4"/>
    </row>
    <row r="511" spans="2:8" x14ac:dyDescent="0.25">
      <c r="B511"/>
      <c r="C511" s="1" t="s">
        <v>53</v>
      </c>
      <c r="D511" s="6" t="s">
        <v>69</v>
      </c>
      <c r="E511">
        <v>1</v>
      </c>
      <c r="F511"/>
      <c r="H511" s="4"/>
    </row>
    <row r="512" spans="2:8" x14ac:dyDescent="0.25">
      <c r="B512"/>
      <c r="C512" s="1" t="s">
        <v>54</v>
      </c>
      <c r="D512" s="6" t="s">
        <v>62</v>
      </c>
      <c r="E512">
        <v>2</v>
      </c>
      <c r="F512"/>
      <c r="H512" s="4"/>
    </row>
    <row r="513" spans="2:8" x14ac:dyDescent="0.25">
      <c r="B513"/>
      <c r="C513" s="1" t="s">
        <v>51</v>
      </c>
      <c r="D513" s="6" t="s">
        <v>71</v>
      </c>
      <c r="E513">
        <v>2.5</v>
      </c>
      <c r="F513"/>
      <c r="H513" s="4"/>
    </row>
    <row r="514" spans="2:8" x14ac:dyDescent="0.25">
      <c r="B514"/>
      <c r="C514" s="1" t="s">
        <v>52</v>
      </c>
      <c r="D514" s="6" t="s">
        <v>64</v>
      </c>
      <c r="E514">
        <v>1.5</v>
      </c>
      <c r="F514"/>
      <c r="H514" s="4"/>
    </row>
    <row r="515" spans="2:8" x14ac:dyDescent="0.25">
      <c r="B515"/>
      <c r="C515" s="1" t="s">
        <v>7</v>
      </c>
      <c r="D515" s="6" t="s">
        <v>62</v>
      </c>
      <c r="E515">
        <v>2</v>
      </c>
      <c r="F515"/>
      <c r="H515" s="4"/>
    </row>
    <row r="516" spans="2:8" x14ac:dyDescent="0.25">
      <c r="B516"/>
      <c r="C516" s="1" t="s">
        <v>53</v>
      </c>
      <c r="D516" s="6" t="s">
        <v>69</v>
      </c>
      <c r="E516">
        <v>1</v>
      </c>
      <c r="F516"/>
      <c r="H516" s="4"/>
    </row>
    <row r="517" spans="2:8" x14ac:dyDescent="0.25">
      <c r="B517"/>
      <c r="C517" s="1" t="s">
        <v>54</v>
      </c>
      <c r="D517" s="6" t="s">
        <v>63</v>
      </c>
      <c r="E517">
        <v>1</v>
      </c>
      <c r="F517"/>
      <c r="H517" s="4"/>
    </row>
    <row r="518" spans="2:8" x14ac:dyDescent="0.25">
      <c r="B518"/>
      <c r="C518" s="1" t="s">
        <v>51</v>
      </c>
      <c r="D518" s="6" t="s">
        <v>75</v>
      </c>
      <c r="E518">
        <v>16</v>
      </c>
      <c r="F518"/>
      <c r="H518" s="4"/>
    </row>
    <row r="519" spans="2:8" x14ac:dyDescent="0.25">
      <c r="B519"/>
      <c r="C519" s="1" t="s">
        <v>52</v>
      </c>
      <c r="D519" s="6" t="s">
        <v>75</v>
      </c>
      <c r="E519">
        <v>16</v>
      </c>
      <c r="F519"/>
      <c r="H519" s="4"/>
    </row>
    <row r="520" spans="2:8" x14ac:dyDescent="0.25">
      <c r="B520"/>
      <c r="C520" s="1" t="s">
        <v>7</v>
      </c>
      <c r="D520" s="6" t="s">
        <v>75</v>
      </c>
      <c r="E520">
        <v>16</v>
      </c>
      <c r="F520"/>
      <c r="H520" s="4"/>
    </row>
    <row r="521" spans="2:8" x14ac:dyDescent="0.25">
      <c r="B521"/>
      <c r="C521" s="1" t="s">
        <v>53</v>
      </c>
      <c r="D521" s="6" t="s">
        <v>75</v>
      </c>
      <c r="E521">
        <v>16</v>
      </c>
      <c r="F521"/>
      <c r="H521" s="4"/>
    </row>
    <row r="522" spans="2:8" x14ac:dyDescent="0.25">
      <c r="B522"/>
      <c r="C522" s="1" t="s">
        <v>54</v>
      </c>
      <c r="D522" s="6" t="s">
        <v>62</v>
      </c>
      <c r="E522">
        <v>2</v>
      </c>
      <c r="F522"/>
      <c r="H522" s="4"/>
    </row>
    <row r="523" spans="2:8" x14ac:dyDescent="0.25">
      <c r="B523"/>
      <c r="C523" s="1" t="s">
        <v>51</v>
      </c>
      <c r="D523" s="6" t="s">
        <v>75</v>
      </c>
      <c r="E523">
        <v>16</v>
      </c>
      <c r="F523"/>
      <c r="H523" s="4"/>
    </row>
    <row r="524" spans="2:8" x14ac:dyDescent="0.25">
      <c r="B524"/>
      <c r="C524" s="1" t="s">
        <v>52</v>
      </c>
      <c r="D524" s="6" t="s">
        <v>75</v>
      </c>
      <c r="E524">
        <v>16</v>
      </c>
      <c r="F524"/>
      <c r="H524" s="4"/>
    </row>
    <row r="525" spans="2:8" x14ac:dyDescent="0.25">
      <c r="B525"/>
      <c r="C525" s="1" t="s">
        <v>7</v>
      </c>
      <c r="D525" s="6" t="s">
        <v>75</v>
      </c>
      <c r="E525">
        <v>16</v>
      </c>
      <c r="F525"/>
      <c r="H525" s="4"/>
    </row>
    <row r="526" spans="2:8" x14ac:dyDescent="0.25">
      <c r="B526"/>
      <c r="C526" s="1" t="s">
        <v>53</v>
      </c>
      <c r="D526" s="6" t="s">
        <v>75</v>
      </c>
      <c r="E526">
        <v>16</v>
      </c>
      <c r="F526"/>
      <c r="H526" s="4"/>
    </row>
    <row r="527" spans="2:8" x14ac:dyDescent="0.25">
      <c r="B527"/>
      <c r="C527" s="1" t="s">
        <v>54</v>
      </c>
      <c r="D527" s="6" t="s">
        <v>75</v>
      </c>
      <c r="E527">
        <v>16</v>
      </c>
      <c r="F527"/>
      <c r="H527" s="4"/>
    </row>
    <row r="528" spans="2:8" x14ac:dyDescent="0.25">
      <c r="B528"/>
      <c r="C528" s="1" t="s">
        <v>51</v>
      </c>
      <c r="D528" s="6" t="s">
        <v>84</v>
      </c>
      <c r="E528">
        <v>4</v>
      </c>
      <c r="F528"/>
      <c r="H528" s="4"/>
    </row>
    <row r="529" spans="2:8" x14ac:dyDescent="0.25">
      <c r="B529"/>
      <c r="C529" s="1" t="s">
        <v>52</v>
      </c>
      <c r="D529" s="6" t="s">
        <v>62</v>
      </c>
      <c r="E529">
        <v>2</v>
      </c>
      <c r="F529"/>
      <c r="H529" s="4"/>
    </row>
    <row r="530" spans="2:8" x14ac:dyDescent="0.25">
      <c r="B530"/>
      <c r="C530" s="1" t="s">
        <v>7</v>
      </c>
      <c r="D530" s="6" t="s">
        <v>65</v>
      </c>
      <c r="E530">
        <v>2</v>
      </c>
      <c r="F530"/>
      <c r="H530" s="4"/>
    </row>
    <row r="531" spans="2:8" x14ac:dyDescent="0.25">
      <c r="B531"/>
      <c r="C531" s="1" t="s">
        <v>53</v>
      </c>
      <c r="D531" s="6" t="s">
        <v>62</v>
      </c>
      <c r="E531">
        <v>2</v>
      </c>
      <c r="F531"/>
      <c r="H531" s="4"/>
    </row>
    <row r="532" spans="2:8" x14ac:dyDescent="0.25">
      <c r="B532"/>
      <c r="C532" s="1" t="s">
        <v>54</v>
      </c>
      <c r="D532" s="6" t="s">
        <v>65</v>
      </c>
      <c r="E532">
        <v>2</v>
      </c>
      <c r="F532"/>
      <c r="H532" s="4"/>
    </row>
    <row r="533" spans="2:8" x14ac:dyDescent="0.25">
      <c r="B533"/>
      <c r="C533" s="1" t="s">
        <v>51</v>
      </c>
      <c r="D533" s="6" t="s">
        <v>62</v>
      </c>
      <c r="E533">
        <v>2</v>
      </c>
      <c r="F533"/>
      <c r="H533" s="4"/>
    </row>
    <row r="534" spans="2:8" x14ac:dyDescent="0.25">
      <c r="B534"/>
      <c r="C534" s="1" t="s">
        <v>52</v>
      </c>
      <c r="D534" s="6" t="s">
        <v>62</v>
      </c>
      <c r="E534">
        <v>2</v>
      </c>
      <c r="F534"/>
      <c r="H534" s="4"/>
    </row>
    <row r="535" spans="2:8" x14ac:dyDescent="0.25">
      <c r="B535"/>
      <c r="C535" s="1" t="s">
        <v>7</v>
      </c>
      <c r="D535" s="6" t="s">
        <v>65</v>
      </c>
      <c r="E535">
        <v>2</v>
      </c>
      <c r="F535"/>
      <c r="H535" s="4"/>
    </row>
    <row r="536" spans="2:8" x14ac:dyDescent="0.25">
      <c r="B536"/>
      <c r="C536" s="1" t="s">
        <v>53</v>
      </c>
      <c r="D536" s="6" t="s">
        <v>62</v>
      </c>
      <c r="E536">
        <v>2</v>
      </c>
      <c r="F536"/>
      <c r="H536" s="4"/>
    </row>
    <row r="537" spans="2:8" x14ac:dyDescent="0.25">
      <c r="B537"/>
      <c r="C537" s="1" t="s">
        <v>54</v>
      </c>
      <c r="D537" s="6" t="s">
        <v>62</v>
      </c>
      <c r="E537">
        <v>2</v>
      </c>
      <c r="F537"/>
      <c r="H537" s="4"/>
    </row>
    <row r="538" spans="2:8" x14ac:dyDescent="0.25">
      <c r="B538"/>
      <c r="C538" s="1" t="s">
        <v>51</v>
      </c>
      <c r="D538" s="6" t="s">
        <v>62</v>
      </c>
      <c r="E538">
        <v>2</v>
      </c>
      <c r="F538"/>
      <c r="H538" s="4"/>
    </row>
    <row r="539" spans="2:8" x14ac:dyDescent="0.25">
      <c r="B539"/>
      <c r="C539" s="1" t="s">
        <v>52</v>
      </c>
      <c r="D539" s="6" t="s">
        <v>65</v>
      </c>
      <c r="E539">
        <v>2</v>
      </c>
      <c r="F539"/>
      <c r="H539" s="4"/>
    </row>
    <row r="540" spans="2:8" x14ac:dyDescent="0.25">
      <c r="B540"/>
      <c r="C540" s="1" t="s">
        <v>7</v>
      </c>
      <c r="D540" s="6" t="s">
        <v>62</v>
      </c>
      <c r="E540">
        <v>2</v>
      </c>
      <c r="F540"/>
      <c r="H540" s="4"/>
    </row>
    <row r="541" spans="2:8" x14ac:dyDescent="0.25">
      <c r="B541"/>
      <c r="C541" s="1" t="s">
        <v>53</v>
      </c>
      <c r="D541" s="6" t="s">
        <v>69</v>
      </c>
      <c r="E541">
        <v>1</v>
      </c>
      <c r="F541"/>
      <c r="H541" s="4"/>
    </row>
    <row r="542" spans="2:8" x14ac:dyDescent="0.25">
      <c r="B542"/>
      <c r="C542" s="1" t="s">
        <v>54</v>
      </c>
      <c r="D542" s="6" t="s">
        <v>62</v>
      </c>
      <c r="E542">
        <v>2</v>
      </c>
      <c r="F542"/>
      <c r="H542" s="4"/>
    </row>
    <row r="543" spans="2:8" x14ac:dyDescent="0.25">
      <c r="B543"/>
      <c r="C543" s="1" t="s">
        <v>51</v>
      </c>
      <c r="D543" s="6" t="s">
        <v>65</v>
      </c>
      <c r="E543">
        <v>2</v>
      </c>
      <c r="F543"/>
      <c r="H543" s="4"/>
    </row>
    <row r="544" spans="2:8" x14ac:dyDescent="0.25">
      <c r="B544"/>
      <c r="C544" s="1" t="s">
        <v>52</v>
      </c>
      <c r="D544" s="6" t="s">
        <v>66</v>
      </c>
      <c r="E544">
        <v>2.2999999999999998</v>
      </c>
      <c r="F544"/>
      <c r="H544" s="4"/>
    </row>
    <row r="545" spans="2:8" x14ac:dyDescent="0.25">
      <c r="B545"/>
      <c r="C545" s="1" t="s">
        <v>7</v>
      </c>
      <c r="D545" s="6" t="s">
        <v>62</v>
      </c>
      <c r="E545">
        <v>2</v>
      </c>
      <c r="F545"/>
      <c r="H545" s="4"/>
    </row>
    <row r="546" spans="2:8" x14ac:dyDescent="0.25">
      <c r="B546"/>
      <c r="C546" s="1" t="s">
        <v>53</v>
      </c>
      <c r="D546" s="6" t="s">
        <v>69</v>
      </c>
      <c r="E546">
        <v>1</v>
      </c>
      <c r="F546"/>
      <c r="H546" s="4"/>
    </row>
    <row r="547" spans="2:8" x14ac:dyDescent="0.25">
      <c r="B547"/>
      <c r="C547" s="1" t="s">
        <v>54</v>
      </c>
      <c r="D547" s="6" t="s">
        <v>62</v>
      </c>
      <c r="E547">
        <v>2</v>
      </c>
      <c r="F547"/>
      <c r="H547" s="4"/>
    </row>
    <row r="548" spans="2:8" x14ac:dyDescent="0.25">
      <c r="B548"/>
      <c r="C548" s="1" t="s">
        <v>51</v>
      </c>
      <c r="D548" s="6" t="s">
        <v>62</v>
      </c>
      <c r="E548">
        <v>2</v>
      </c>
      <c r="F548"/>
      <c r="H548" s="4"/>
    </row>
    <row r="549" spans="2:8" x14ac:dyDescent="0.25">
      <c r="B549"/>
      <c r="C549" s="1" t="s">
        <v>52</v>
      </c>
      <c r="D549" s="6" t="s">
        <v>66</v>
      </c>
      <c r="E549">
        <v>2.2999999999999998</v>
      </c>
      <c r="F549"/>
      <c r="H549" s="4"/>
    </row>
    <row r="550" spans="2:8" x14ac:dyDescent="0.25">
      <c r="B550"/>
      <c r="C550" s="1" t="s">
        <v>7</v>
      </c>
      <c r="D550" s="6" t="s">
        <v>64</v>
      </c>
      <c r="E550">
        <v>1.5</v>
      </c>
      <c r="F550"/>
      <c r="H550" s="4"/>
    </row>
    <row r="551" spans="2:8" x14ac:dyDescent="0.25">
      <c r="B551"/>
      <c r="C551" s="1" t="s">
        <v>53</v>
      </c>
      <c r="D551" s="6" t="s">
        <v>69</v>
      </c>
      <c r="E551">
        <v>1</v>
      </c>
      <c r="F551"/>
      <c r="H551" s="4"/>
    </row>
    <row r="552" spans="2:8" x14ac:dyDescent="0.25">
      <c r="B552"/>
      <c r="C552" s="1" t="s">
        <v>54</v>
      </c>
      <c r="D552" s="6" t="s">
        <v>62</v>
      </c>
      <c r="E552">
        <v>2</v>
      </c>
      <c r="F552"/>
      <c r="H552" s="4"/>
    </row>
    <row r="553" spans="2:8" x14ac:dyDescent="0.25">
      <c r="B553"/>
      <c r="C553" s="1" t="s">
        <v>51</v>
      </c>
      <c r="D553" s="6" t="s">
        <v>62</v>
      </c>
      <c r="E553">
        <v>2</v>
      </c>
      <c r="F553"/>
      <c r="H553" s="4"/>
    </row>
    <row r="554" spans="2:8" x14ac:dyDescent="0.25">
      <c r="B554"/>
      <c r="C554" s="1" t="s">
        <v>52</v>
      </c>
      <c r="D554" s="6" t="s">
        <v>67</v>
      </c>
      <c r="E554">
        <v>3</v>
      </c>
      <c r="F554"/>
      <c r="H554" s="4"/>
    </row>
    <row r="555" spans="2:8" x14ac:dyDescent="0.25">
      <c r="B555"/>
      <c r="C555" s="1" t="s">
        <v>7</v>
      </c>
      <c r="D555" s="6" t="s">
        <v>65</v>
      </c>
      <c r="E555">
        <v>2</v>
      </c>
      <c r="F555"/>
      <c r="H555" s="4"/>
    </row>
    <row r="556" spans="2:8" x14ac:dyDescent="0.25">
      <c r="B556"/>
      <c r="C556" s="1" t="s">
        <v>53</v>
      </c>
      <c r="D556" s="6" t="s">
        <v>64</v>
      </c>
      <c r="E556">
        <v>1.5</v>
      </c>
      <c r="F556"/>
      <c r="H556" s="4"/>
    </row>
    <row r="557" spans="2:8" x14ac:dyDescent="0.25">
      <c r="B557"/>
      <c r="C557" s="1" t="s">
        <v>54</v>
      </c>
      <c r="D557" s="6" t="s">
        <v>65</v>
      </c>
      <c r="E557">
        <v>2</v>
      </c>
      <c r="F557"/>
      <c r="H557" s="4"/>
    </row>
    <row r="558" spans="2:8" x14ac:dyDescent="0.25">
      <c r="B558"/>
      <c r="C558" s="1" t="s">
        <v>51</v>
      </c>
      <c r="D558" s="6" t="s">
        <v>65</v>
      </c>
      <c r="E558">
        <v>2</v>
      </c>
      <c r="F558"/>
      <c r="H558" s="4"/>
    </row>
    <row r="559" spans="2:8" x14ac:dyDescent="0.25">
      <c r="B559"/>
      <c r="C559" s="1" t="s">
        <v>52</v>
      </c>
      <c r="D559" s="6" t="s">
        <v>62</v>
      </c>
      <c r="E559">
        <v>2</v>
      </c>
      <c r="F559"/>
      <c r="H559" s="4"/>
    </row>
    <row r="560" spans="2:8" x14ac:dyDescent="0.25">
      <c r="B560"/>
      <c r="C560" s="1" t="s">
        <v>7</v>
      </c>
      <c r="D560" s="6" t="s">
        <v>65</v>
      </c>
      <c r="E560">
        <v>2</v>
      </c>
      <c r="F560"/>
      <c r="H560" s="4"/>
    </row>
    <row r="561" spans="2:8" x14ac:dyDescent="0.25">
      <c r="B561"/>
      <c r="C561" s="1" t="s">
        <v>53</v>
      </c>
      <c r="D561" s="6" t="s">
        <v>62</v>
      </c>
      <c r="E561">
        <v>2</v>
      </c>
      <c r="F561"/>
      <c r="H561" s="4"/>
    </row>
    <row r="562" spans="2:8" x14ac:dyDescent="0.25">
      <c r="B562"/>
      <c r="C562" s="1" t="s">
        <v>54</v>
      </c>
      <c r="D562" s="6" t="s">
        <v>73</v>
      </c>
      <c r="E562">
        <v>0.5</v>
      </c>
      <c r="F562"/>
      <c r="H562" s="4"/>
    </row>
    <row r="563" spans="2:8" x14ac:dyDescent="0.25">
      <c r="B563"/>
      <c r="C563" s="1" t="s">
        <v>51</v>
      </c>
      <c r="D563" s="6" t="s">
        <v>64</v>
      </c>
      <c r="E563">
        <v>1.5</v>
      </c>
      <c r="F563"/>
      <c r="H563" s="4"/>
    </row>
    <row r="564" spans="2:8" x14ac:dyDescent="0.25">
      <c r="B564"/>
      <c r="C564" s="1" t="s">
        <v>52</v>
      </c>
      <c r="D564" s="6" t="s">
        <v>64</v>
      </c>
      <c r="E564">
        <v>1.5</v>
      </c>
      <c r="F564"/>
      <c r="H564" s="4"/>
    </row>
    <row r="565" spans="2:8" x14ac:dyDescent="0.25">
      <c r="B565"/>
      <c r="C565" s="1" t="s">
        <v>7</v>
      </c>
      <c r="D565" s="6" t="s">
        <v>62</v>
      </c>
      <c r="E565">
        <v>2</v>
      </c>
      <c r="F565"/>
      <c r="H565" s="4"/>
    </row>
    <row r="566" spans="2:8" x14ac:dyDescent="0.25">
      <c r="B566"/>
      <c r="C566" s="1" t="s">
        <v>53</v>
      </c>
      <c r="D566" s="6" t="s">
        <v>85</v>
      </c>
      <c r="E566">
        <v>1.75</v>
      </c>
      <c r="F566"/>
      <c r="H566" s="4"/>
    </row>
    <row r="567" spans="2:8" x14ac:dyDescent="0.25">
      <c r="B567"/>
      <c r="C567" s="1" t="s">
        <v>54</v>
      </c>
      <c r="D567" s="6" t="s">
        <v>62</v>
      </c>
      <c r="E567">
        <v>2</v>
      </c>
      <c r="F567"/>
      <c r="H567" s="4"/>
    </row>
    <row r="568" spans="2:8" x14ac:dyDescent="0.25">
      <c r="B568"/>
      <c r="C568" s="1" t="s">
        <v>51</v>
      </c>
      <c r="D568" s="6" t="s">
        <v>69</v>
      </c>
      <c r="E568">
        <v>1</v>
      </c>
      <c r="F568"/>
      <c r="H568" s="4"/>
    </row>
    <row r="569" spans="2:8" x14ac:dyDescent="0.25">
      <c r="B569"/>
      <c r="C569" s="1" t="s">
        <v>52</v>
      </c>
      <c r="D569" s="6" t="s">
        <v>69</v>
      </c>
      <c r="E569">
        <v>1</v>
      </c>
      <c r="F569"/>
      <c r="H569" s="4"/>
    </row>
    <row r="570" spans="2:8" x14ac:dyDescent="0.25">
      <c r="B570"/>
      <c r="C570" s="1" t="s">
        <v>7</v>
      </c>
      <c r="D570" s="6" t="s">
        <v>66</v>
      </c>
      <c r="E570">
        <v>2.2999999999999998</v>
      </c>
      <c r="F570"/>
      <c r="H570" s="4"/>
    </row>
    <row r="571" spans="2:8" x14ac:dyDescent="0.25">
      <c r="B571"/>
      <c r="C571" s="1" t="s">
        <v>53</v>
      </c>
      <c r="D571" s="6" t="s">
        <v>67</v>
      </c>
      <c r="E571">
        <v>3</v>
      </c>
      <c r="F571"/>
      <c r="H571" s="4"/>
    </row>
    <row r="572" spans="2:8" x14ac:dyDescent="0.25">
      <c r="B572"/>
      <c r="C572" s="1" t="s">
        <v>54</v>
      </c>
      <c r="D572" s="6" t="s">
        <v>62</v>
      </c>
      <c r="E572">
        <v>2</v>
      </c>
      <c r="F572"/>
      <c r="H572" s="4"/>
    </row>
    <row r="573" spans="2:8" x14ac:dyDescent="0.25">
      <c r="B573"/>
      <c r="C573" s="1" t="s">
        <v>51</v>
      </c>
      <c r="D573" s="6" t="s">
        <v>67</v>
      </c>
      <c r="E573">
        <v>3</v>
      </c>
      <c r="F573"/>
      <c r="H573" s="4"/>
    </row>
    <row r="574" spans="2:8" x14ac:dyDescent="0.25">
      <c r="B574"/>
      <c r="C574" s="1" t="s">
        <v>52</v>
      </c>
      <c r="D574" s="6" t="s">
        <v>62</v>
      </c>
      <c r="E574">
        <v>2</v>
      </c>
      <c r="F574"/>
      <c r="H574" s="4"/>
    </row>
    <row r="575" spans="2:8" x14ac:dyDescent="0.25">
      <c r="B575"/>
      <c r="C575" s="1" t="s">
        <v>7</v>
      </c>
      <c r="D575" s="6" t="s">
        <v>62</v>
      </c>
      <c r="E575">
        <v>2</v>
      </c>
      <c r="F575"/>
      <c r="H575" s="4"/>
    </row>
    <row r="576" spans="2:8" x14ac:dyDescent="0.25">
      <c r="B576"/>
      <c r="C576" s="1" t="s">
        <v>53</v>
      </c>
      <c r="D576" s="6" t="s">
        <v>62</v>
      </c>
      <c r="E576">
        <v>2</v>
      </c>
      <c r="F576"/>
      <c r="H576" s="4"/>
    </row>
    <row r="577" spans="2:8" x14ac:dyDescent="0.25">
      <c r="B577"/>
      <c r="C577" s="1" t="s">
        <v>54</v>
      </c>
      <c r="D577" s="6" t="s">
        <v>62</v>
      </c>
      <c r="E577">
        <v>2</v>
      </c>
      <c r="F577"/>
      <c r="H577" s="4"/>
    </row>
    <row r="578" spans="2:8" x14ac:dyDescent="0.25">
      <c r="B578"/>
      <c r="C578" s="1" t="s">
        <v>51</v>
      </c>
      <c r="D578" s="6" t="s">
        <v>62</v>
      </c>
      <c r="E578">
        <v>2</v>
      </c>
      <c r="F578"/>
      <c r="H578" s="4"/>
    </row>
    <row r="579" spans="2:8" x14ac:dyDescent="0.25">
      <c r="B579"/>
      <c r="C579" s="1" t="s">
        <v>52</v>
      </c>
      <c r="D579" s="6" t="s">
        <v>62</v>
      </c>
      <c r="E579">
        <v>2</v>
      </c>
      <c r="F579"/>
      <c r="H579" s="4"/>
    </row>
    <row r="580" spans="2:8" x14ac:dyDescent="0.25">
      <c r="B580"/>
      <c r="C580" s="1" t="s">
        <v>7</v>
      </c>
      <c r="D580" s="6" t="s">
        <v>63</v>
      </c>
      <c r="E580">
        <v>1</v>
      </c>
      <c r="F580"/>
      <c r="H580" s="4"/>
    </row>
    <row r="581" spans="2:8" x14ac:dyDescent="0.25">
      <c r="B581"/>
      <c r="C581" s="1" t="s">
        <v>53</v>
      </c>
      <c r="D581" s="6" t="s">
        <v>62</v>
      </c>
      <c r="E581">
        <v>2</v>
      </c>
      <c r="F581"/>
      <c r="H581" s="4"/>
    </row>
    <row r="582" spans="2:8" x14ac:dyDescent="0.25">
      <c r="B582"/>
      <c r="C582" s="1" t="s">
        <v>54</v>
      </c>
      <c r="D582" s="6" t="s">
        <v>68</v>
      </c>
      <c r="E582">
        <v>1.25</v>
      </c>
      <c r="F582"/>
      <c r="H582" s="4"/>
    </row>
    <row r="583" spans="2:8" x14ac:dyDescent="0.25">
      <c r="B583"/>
      <c r="C583" s="1" t="s">
        <v>51</v>
      </c>
      <c r="D583" s="6" t="s">
        <v>63</v>
      </c>
      <c r="E583">
        <v>1</v>
      </c>
      <c r="F583"/>
      <c r="H583" s="4"/>
    </row>
    <row r="584" spans="2:8" x14ac:dyDescent="0.25">
      <c r="B584"/>
      <c r="C584" s="1" t="s">
        <v>52</v>
      </c>
      <c r="D584" s="6" t="s">
        <v>62</v>
      </c>
      <c r="E584">
        <v>2</v>
      </c>
      <c r="F584"/>
      <c r="H584" s="4"/>
    </row>
    <row r="585" spans="2:8" x14ac:dyDescent="0.25">
      <c r="B585"/>
      <c r="C585" s="1" t="s">
        <v>7</v>
      </c>
      <c r="D585" s="6" t="s">
        <v>67</v>
      </c>
      <c r="E585">
        <v>3</v>
      </c>
      <c r="F585"/>
      <c r="H585" s="4"/>
    </row>
    <row r="586" spans="2:8" x14ac:dyDescent="0.25">
      <c r="B586"/>
      <c r="C586" s="1" t="s">
        <v>53</v>
      </c>
      <c r="D586" s="6" t="s">
        <v>62</v>
      </c>
      <c r="E586">
        <v>2</v>
      </c>
      <c r="F586"/>
      <c r="H586" s="4"/>
    </row>
    <row r="587" spans="2:8" x14ac:dyDescent="0.25">
      <c r="B587"/>
      <c r="C587" s="1" t="s">
        <v>54</v>
      </c>
      <c r="D587" s="6" t="s">
        <v>62</v>
      </c>
      <c r="E587">
        <v>2</v>
      </c>
      <c r="F587"/>
      <c r="H587" s="4"/>
    </row>
    <row r="588" spans="2:8" x14ac:dyDescent="0.25">
      <c r="B588"/>
      <c r="C588" s="1" t="s">
        <v>51</v>
      </c>
      <c r="D588" s="6" t="s">
        <v>62</v>
      </c>
      <c r="E588">
        <v>2</v>
      </c>
      <c r="F588"/>
      <c r="H588" s="4"/>
    </row>
    <row r="589" spans="2:8" x14ac:dyDescent="0.25">
      <c r="B589"/>
      <c r="C589" s="1" t="s">
        <v>52</v>
      </c>
      <c r="D589" s="6" t="s">
        <v>70</v>
      </c>
      <c r="E589">
        <v>15</v>
      </c>
      <c r="F589"/>
      <c r="H589" s="4"/>
    </row>
    <row r="590" spans="2:8" x14ac:dyDescent="0.25">
      <c r="B590"/>
      <c r="C590" s="1" t="s">
        <v>7</v>
      </c>
      <c r="D590" s="6" t="s">
        <v>62</v>
      </c>
      <c r="E590">
        <v>2</v>
      </c>
      <c r="F590"/>
      <c r="H590" s="4"/>
    </row>
    <row r="591" spans="2:8" x14ac:dyDescent="0.25">
      <c r="B591"/>
      <c r="C591" s="1" t="s">
        <v>53</v>
      </c>
      <c r="D591" s="6" t="s">
        <v>66</v>
      </c>
      <c r="E591">
        <v>2.2999999999999998</v>
      </c>
      <c r="F591"/>
      <c r="H591" s="4"/>
    </row>
    <row r="592" spans="2:8" x14ac:dyDescent="0.25">
      <c r="B592"/>
      <c r="C592" s="1" t="s">
        <v>54</v>
      </c>
      <c r="D592" s="6" t="s">
        <v>62</v>
      </c>
      <c r="E592">
        <v>2</v>
      </c>
      <c r="F592"/>
      <c r="H592" s="4"/>
    </row>
    <row r="593" spans="2:8" x14ac:dyDescent="0.25">
      <c r="B593"/>
      <c r="C593" s="1" t="s">
        <v>51</v>
      </c>
      <c r="D593" s="6" t="s">
        <v>67</v>
      </c>
      <c r="E593">
        <v>3</v>
      </c>
      <c r="F593"/>
      <c r="H593" s="4"/>
    </row>
    <row r="594" spans="2:8" x14ac:dyDescent="0.25">
      <c r="B594"/>
      <c r="C594" s="1" t="s">
        <v>52</v>
      </c>
      <c r="D594" s="6" t="s">
        <v>67</v>
      </c>
      <c r="E594">
        <v>3</v>
      </c>
      <c r="F594"/>
      <c r="H594" s="4"/>
    </row>
    <row r="595" spans="2:8" x14ac:dyDescent="0.25">
      <c r="B595"/>
      <c r="C595" s="1" t="s">
        <v>7</v>
      </c>
      <c r="D595" s="6" t="s">
        <v>62</v>
      </c>
      <c r="E595">
        <v>2</v>
      </c>
      <c r="F595"/>
      <c r="H595" s="4"/>
    </row>
    <row r="596" spans="2:8" x14ac:dyDescent="0.25">
      <c r="B596"/>
      <c r="C596" s="1" t="s">
        <v>53</v>
      </c>
      <c r="D596" s="6" t="s">
        <v>73</v>
      </c>
      <c r="E596">
        <v>0.5</v>
      </c>
      <c r="F596"/>
      <c r="H596" s="4"/>
    </row>
    <row r="597" spans="2:8" x14ac:dyDescent="0.25">
      <c r="B597"/>
      <c r="C597" s="1" t="s">
        <v>54</v>
      </c>
      <c r="D597" s="6" t="s">
        <v>64</v>
      </c>
      <c r="E597">
        <v>1.5</v>
      </c>
      <c r="F597"/>
      <c r="H597" s="4"/>
    </row>
    <row r="598" spans="2:8" x14ac:dyDescent="0.25">
      <c r="B598"/>
      <c r="C598" s="1" t="s">
        <v>51</v>
      </c>
      <c r="D598" s="6" t="s">
        <v>64</v>
      </c>
      <c r="E598">
        <v>1.5</v>
      </c>
      <c r="F598"/>
      <c r="H598" s="4"/>
    </row>
    <row r="599" spans="2:8" x14ac:dyDescent="0.25">
      <c r="B599"/>
      <c r="C599" s="1" t="s">
        <v>52</v>
      </c>
      <c r="D599" s="6" t="s">
        <v>64</v>
      </c>
      <c r="E599">
        <v>1.5</v>
      </c>
      <c r="F599"/>
      <c r="H599" s="4"/>
    </row>
    <row r="600" spans="2:8" x14ac:dyDescent="0.25">
      <c r="B600"/>
      <c r="C600" s="1" t="s">
        <v>7</v>
      </c>
      <c r="D600" s="6" t="s">
        <v>66</v>
      </c>
      <c r="E600">
        <v>2.2999999999999998</v>
      </c>
      <c r="F600"/>
      <c r="H600" s="4"/>
    </row>
    <row r="601" spans="2:8" x14ac:dyDescent="0.25">
      <c r="B601"/>
      <c r="C601" s="1" t="s">
        <v>53</v>
      </c>
      <c r="D601" s="6" t="s">
        <v>63</v>
      </c>
      <c r="E601">
        <v>1</v>
      </c>
      <c r="F601"/>
      <c r="H601" s="4"/>
    </row>
    <row r="602" spans="2:8" x14ac:dyDescent="0.25">
      <c r="B602"/>
      <c r="C602" s="1" t="s">
        <v>54</v>
      </c>
      <c r="D602" s="6" t="s">
        <v>63</v>
      </c>
      <c r="E602">
        <v>1</v>
      </c>
      <c r="F602"/>
      <c r="H602" s="4"/>
    </row>
    <row r="603" spans="2:8" x14ac:dyDescent="0.25">
      <c r="B603"/>
      <c r="C603" s="1" t="s">
        <v>51</v>
      </c>
      <c r="D603" s="6" t="s">
        <v>62</v>
      </c>
      <c r="E603">
        <v>2</v>
      </c>
      <c r="F603"/>
      <c r="H603" s="4"/>
    </row>
    <row r="604" spans="2:8" x14ac:dyDescent="0.25">
      <c r="B604"/>
      <c r="C604" s="1" t="s">
        <v>52</v>
      </c>
      <c r="D604" s="6" t="s">
        <v>86</v>
      </c>
      <c r="E604">
        <v>3.5</v>
      </c>
      <c r="F604"/>
      <c r="H604" s="4"/>
    </row>
    <row r="605" spans="2:8" x14ac:dyDescent="0.25">
      <c r="B605"/>
      <c r="C605" s="1" t="s">
        <v>7</v>
      </c>
      <c r="D605" s="6" t="s">
        <v>69</v>
      </c>
      <c r="E605">
        <v>1</v>
      </c>
      <c r="F605"/>
      <c r="H605" s="4"/>
    </row>
    <row r="606" spans="2:8" x14ac:dyDescent="0.25">
      <c r="B606"/>
      <c r="C606" s="1" t="s">
        <v>53</v>
      </c>
      <c r="D606" s="6" t="s">
        <v>62</v>
      </c>
      <c r="E606">
        <v>2</v>
      </c>
      <c r="F606"/>
      <c r="H606" s="4"/>
    </row>
    <row r="607" spans="2:8" x14ac:dyDescent="0.25">
      <c r="B607"/>
      <c r="C607" s="1" t="s">
        <v>54</v>
      </c>
      <c r="D607" s="6" t="s">
        <v>66</v>
      </c>
      <c r="E607">
        <v>2.2999999999999998</v>
      </c>
      <c r="F607"/>
      <c r="H607" s="4"/>
    </row>
    <row r="608" spans="2:8" x14ac:dyDescent="0.25">
      <c r="B608"/>
      <c r="C608" s="1" t="s">
        <v>51</v>
      </c>
      <c r="D608" s="6" t="s">
        <v>67</v>
      </c>
      <c r="E608">
        <v>3</v>
      </c>
      <c r="F608"/>
      <c r="H608" s="4"/>
    </row>
    <row r="609" spans="2:8" x14ac:dyDescent="0.25">
      <c r="B609"/>
      <c r="C609" s="1" t="s">
        <v>52</v>
      </c>
      <c r="D609" s="6" t="s">
        <v>64</v>
      </c>
      <c r="E609">
        <v>1.5</v>
      </c>
      <c r="F609"/>
      <c r="H609" s="4"/>
    </row>
    <row r="610" spans="2:8" x14ac:dyDescent="0.25">
      <c r="B610"/>
      <c r="C610" s="1" t="s">
        <v>7</v>
      </c>
      <c r="D610" s="6" t="s">
        <v>68</v>
      </c>
      <c r="E610">
        <v>1.25</v>
      </c>
      <c r="F610"/>
      <c r="H610" s="4"/>
    </row>
    <row r="611" spans="2:8" x14ac:dyDescent="0.25">
      <c r="B611"/>
      <c r="C611" s="1" t="s">
        <v>53</v>
      </c>
      <c r="D611" s="6" t="s">
        <v>62</v>
      </c>
      <c r="E611">
        <v>2</v>
      </c>
      <c r="F611"/>
      <c r="H611" s="4"/>
    </row>
    <row r="612" spans="2:8" x14ac:dyDescent="0.25">
      <c r="B612"/>
      <c r="C612" s="1" t="s">
        <v>54</v>
      </c>
      <c r="D612" s="6" t="s">
        <v>62</v>
      </c>
      <c r="E612">
        <v>2</v>
      </c>
      <c r="F612"/>
      <c r="H612" s="4"/>
    </row>
    <row r="613" spans="2:8" x14ac:dyDescent="0.25">
      <c r="B613"/>
      <c r="C613" s="1" t="s">
        <v>51</v>
      </c>
      <c r="D613" s="6" t="s">
        <v>62</v>
      </c>
      <c r="E613">
        <v>2</v>
      </c>
      <c r="F613"/>
      <c r="H613" s="4"/>
    </row>
    <row r="614" spans="2:8" x14ac:dyDescent="0.25">
      <c r="B614"/>
      <c r="C614" s="1" t="s">
        <v>52</v>
      </c>
      <c r="D614" s="6" t="s">
        <v>62</v>
      </c>
      <c r="E614">
        <v>2</v>
      </c>
      <c r="F614"/>
      <c r="H614" s="4"/>
    </row>
    <row r="615" spans="2:8" x14ac:dyDescent="0.25">
      <c r="B615"/>
      <c r="C615" s="1" t="s">
        <v>7</v>
      </c>
      <c r="D615" s="6" t="s">
        <v>68</v>
      </c>
      <c r="E615">
        <v>1.25</v>
      </c>
      <c r="F615"/>
      <c r="H615" s="4"/>
    </row>
    <row r="616" spans="2:8" x14ac:dyDescent="0.25">
      <c r="B616"/>
      <c r="C616" s="1" t="s">
        <v>53</v>
      </c>
      <c r="D616" s="6" t="s">
        <v>62</v>
      </c>
      <c r="E616">
        <v>2</v>
      </c>
      <c r="F616"/>
      <c r="H616" s="4"/>
    </row>
    <row r="617" spans="2:8" x14ac:dyDescent="0.25">
      <c r="B617"/>
      <c r="C617" s="1" t="s">
        <v>54</v>
      </c>
      <c r="D617" s="6" t="s">
        <v>87</v>
      </c>
      <c r="E617">
        <v>6</v>
      </c>
      <c r="F617"/>
      <c r="H617" s="4"/>
    </row>
    <row r="618" spans="2:8" x14ac:dyDescent="0.25">
      <c r="B618"/>
      <c r="C618" s="1" t="s">
        <v>51</v>
      </c>
      <c r="D618" s="6" t="s">
        <v>62</v>
      </c>
      <c r="E618">
        <v>2</v>
      </c>
      <c r="F618"/>
      <c r="H618" s="4"/>
    </row>
    <row r="619" spans="2:8" x14ac:dyDescent="0.25">
      <c r="B619"/>
      <c r="C619" s="1" t="s">
        <v>52</v>
      </c>
      <c r="D619" s="6" t="s">
        <v>63</v>
      </c>
      <c r="E619">
        <v>1</v>
      </c>
      <c r="F619"/>
      <c r="H619" s="4"/>
    </row>
    <row r="620" spans="2:8" x14ac:dyDescent="0.25">
      <c r="B620"/>
      <c r="C620" s="1" t="s">
        <v>7</v>
      </c>
      <c r="D620" s="6" t="s">
        <v>62</v>
      </c>
      <c r="E620">
        <v>2</v>
      </c>
      <c r="F620"/>
      <c r="H620" s="4"/>
    </row>
    <row r="621" spans="2:8" x14ac:dyDescent="0.25">
      <c r="B621"/>
      <c r="C621" s="1" t="s">
        <v>53</v>
      </c>
      <c r="D621" s="6" t="s">
        <v>66</v>
      </c>
      <c r="E621">
        <v>2.2999999999999998</v>
      </c>
      <c r="F621"/>
      <c r="H621" s="4"/>
    </row>
    <row r="622" spans="2:8" x14ac:dyDescent="0.25">
      <c r="B622"/>
      <c r="C622" s="1" t="s">
        <v>54</v>
      </c>
      <c r="D622" s="6" t="s">
        <v>62</v>
      </c>
      <c r="E622">
        <v>2</v>
      </c>
      <c r="F622"/>
      <c r="H622" s="4"/>
    </row>
    <row r="623" spans="2:8" x14ac:dyDescent="0.25">
      <c r="B623"/>
      <c r="C623" s="1" t="s">
        <v>51</v>
      </c>
      <c r="D623" s="6" t="s">
        <v>66</v>
      </c>
      <c r="E623">
        <v>2.2999999999999998</v>
      </c>
      <c r="F623"/>
      <c r="H623" s="4"/>
    </row>
    <row r="624" spans="2:8" x14ac:dyDescent="0.25">
      <c r="B624"/>
      <c r="C624" s="1" t="s">
        <v>52</v>
      </c>
      <c r="D624" s="6" t="s">
        <v>64</v>
      </c>
      <c r="E624">
        <v>1.5</v>
      </c>
      <c r="F624"/>
      <c r="H624" s="4"/>
    </row>
    <row r="625" spans="2:8" x14ac:dyDescent="0.25">
      <c r="B625"/>
      <c r="C625" s="1" t="s">
        <v>7</v>
      </c>
      <c r="D625" s="6" t="s">
        <v>69</v>
      </c>
      <c r="E625">
        <v>1</v>
      </c>
      <c r="F625"/>
      <c r="H625" s="4"/>
    </row>
    <row r="626" spans="2:8" x14ac:dyDescent="0.25">
      <c r="B626"/>
      <c r="C626" s="1" t="s">
        <v>53</v>
      </c>
      <c r="D626" s="6" t="s">
        <v>62</v>
      </c>
      <c r="E626">
        <v>2</v>
      </c>
      <c r="F626"/>
      <c r="H626" s="4"/>
    </row>
    <row r="627" spans="2:8" x14ac:dyDescent="0.25">
      <c r="B627"/>
      <c r="C627" s="1" t="s">
        <v>54</v>
      </c>
      <c r="D627" s="6" t="s">
        <v>69</v>
      </c>
      <c r="E627">
        <v>1</v>
      </c>
      <c r="F627"/>
      <c r="H627" s="4"/>
    </row>
    <row r="628" spans="2:8" x14ac:dyDescent="0.25">
      <c r="B628"/>
      <c r="C628" s="1" t="s">
        <v>51</v>
      </c>
      <c r="D628" s="6" t="s">
        <v>65</v>
      </c>
      <c r="E628">
        <v>2</v>
      </c>
      <c r="F628"/>
      <c r="H628" s="4"/>
    </row>
    <row r="629" spans="2:8" x14ac:dyDescent="0.25">
      <c r="B629"/>
      <c r="C629" s="1" t="s">
        <v>52</v>
      </c>
      <c r="D629" s="6" t="s">
        <v>62</v>
      </c>
      <c r="E629">
        <v>2</v>
      </c>
      <c r="F629"/>
      <c r="H629" s="4"/>
    </row>
    <row r="630" spans="2:8" x14ac:dyDescent="0.25">
      <c r="B630"/>
      <c r="C630" s="1" t="s">
        <v>7</v>
      </c>
      <c r="D630" s="6" t="s">
        <v>66</v>
      </c>
      <c r="E630">
        <v>2.2999999999999998</v>
      </c>
      <c r="F630"/>
      <c r="H630" s="4"/>
    </row>
    <row r="631" spans="2:8" x14ac:dyDescent="0.25">
      <c r="B631"/>
      <c r="C631" s="1" t="s">
        <v>53</v>
      </c>
      <c r="D631" s="6" t="s">
        <v>62</v>
      </c>
      <c r="E631">
        <v>2</v>
      </c>
      <c r="F631"/>
      <c r="H631" s="4"/>
    </row>
    <row r="632" spans="2:8" x14ac:dyDescent="0.25">
      <c r="B632"/>
      <c r="C632" s="1" t="s">
        <v>54</v>
      </c>
      <c r="D632" s="6" t="s">
        <v>69</v>
      </c>
      <c r="E632">
        <v>1</v>
      </c>
      <c r="F632"/>
      <c r="H632" s="4"/>
    </row>
    <row r="633" spans="2:8" x14ac:dyDescent="0.25">
      <c r="B633"/>
      <c r="C633" s="1" t="s">
        <v>51</v>
      </c>
      <c r="D633" s="6" t="s">
        <v>69</v>
      </c>
      <c r="E633">
        <v>1</v>
      </c>
      <c r="F633"/>
      <c r="H633" s="4"/>
    </row>
    <row r="634" spans="2:8" x14ac:dyDescent="0.25">
      <c r="B634"/>
      <c r="C634" s="1" t="s">
        <v>52</v>
      </c>
      <c r="D634" s="6" t="s">
        <v>62</v>
      </c>
      <c r="E634">
        <v>2</v>
      </c>
      <c r="F634"/>
      <c r="H634" s="4"/>
    </row>
    <row r="635" spans="2:8" x14ac:dyDescent="0.25">
      <c r="B635"/>
      <c r="C635" s="1" t="s">
        <v>7</v>
      </c>
      <c r="D635" s="6" t="s">
        <v>64</v>
      </c>
      <c r="E635">
        <v>1.5</v>
      </c>
      <c r="F635"/>
      <c r="H635" s="4"/>
    </row>
    <row r="636" spans="2:8" x14ac:dyDescent="0.25">
      <c r="B636"/>
      <c r="C636" s="1" t="s">
        <v>53</v>
      </c>
      <c r="D636" s="6" t="s">
        <v>62</v>
      </c>
      <c r="E636">
        <v>2</v>
      </c>
      <c r="F636"/>
      <c r="H636" s="4"/>
    </row>
    <row r="637" spans="2:8" x14ac:dyDescent="0.25">
      <c r="B637"/>
      <c r="C637" s="1" t="s">
        <v>54</v>
      </c>
      <c r="D637" s="6" t="s">
        <v>62</v>
      </c>
      <c r="E637">
        <v>2</v>
      </c>
      <c r="F637"/>
      <c r="H637" s="4"/>
    </row>
    <row r="638" spans="2:8" x14ac:dyDescent="0.25">
      <c r="B638"/>
      <c r="C638" s="1" t="s">
        <v>51</v>
      </c>
      <c r="D638" s="6" t="s">
        <v>64</v>
      </c>
      <c r="E638">
        <v>1.5</v>
      </c>
      <c r="F638"/>
      <c r="H638" s="4"/>
    </row>
    <row r="639" spans="2:8" x14ac:dyDescent="0.25">
      <c r="B639"/>
      <c r="C639" s="1" t="s">
        <v>52</v>
      </c>
      <c r="D639" s="6" t="s">
        <v>64</v>
      </c>
      <c r="E639">
        <v>1.5</v>
      </c>
      <c r="F639"/>
      <c r="H639" s="4"/>
    </row>
    <row r="640" spans="2:8" x14ac:dyDescent="0.25">
      <c r="B640"/>
      <c r="C640" s="1" t="s">
        <v>7</v>
      </c>
      <c r="D640" s="6" t="s">
        <v>66</v>
      </c>
      <c r="E640">
        <v>2.2999999999999998</v>
      </c>
      <c r="F640"/>
      <c r="H640" s="4"/>
    </row>
    <row r="641" spans="2:8" x14ac:dyDescent="0.25">
      <c r="B641"/>
      <c r="C641" s="1" t="s">
        <v>53</v>
      </c>
      <c r="D641" s="6" t="s">
        <v>63</v>
      </c>
      <c r="E641">
        <v>1</v>
      </c>
      <c r="F641"/>
      <c r="H641" s="4"/>
    </row>
    <row r="642" spans="2:8" x14ac:dyDescent="0.25">
      <c r="B642"/>
      <c r="C642" s="1" t="s">
        <v>54</v>
      </c>
      <c r="D642" s="6" t="s">
        <v>62</v>
      </c>
      <c r="E642">
        <v>2</v>
      </c>
      <c r="F642"/>
      <c r="H642" s="4"/>
    </row>
    <row r="643" spans="2:8" x14ac:dyDescent="0.25">
      <c r="B643"/>
      <c r="C643" s="1" t="s">
        <v>51</v>
      </c>
      <c r="D643" s="6" t="s">
        <v>66</v>
      </c>
      <c r="E643">
        <v>2.2999999999999998</v>
      </c>
      <c r="F643"/>
      <c r="H643" s="4"/>
    </row>
    <row r="644" spans="2:8" x14ac:dyDescent="0.25">
      <c r="B644"/>
      <c r="C644" s="1" t="s">
        <v>52</v>
      </c>
      <c r="D644" s="6" t="s">
        <v>69</v>
      </c>
      <c r="E644">
        <v>1</v>
      </c>
      <c r="F644"/>
      <c r="H644" s="4"/>
    </row>
    <row r="645" spans="2:8" x14ac:dyDescent="0.25">
      <c r="B645"/>
      <c r="C645" s="1" t="s">
        <v>7</v>
      </c>
      <c r="D645" s="6" t="s">
        <v>64</v>
      </c>
      <c r="E645">
        <v>1.5</v>
      </c>
      <c r="F645"/>
      <c r="H645" s="4"/>
    </row>
    <row r="646" spans="2:8" x14ac:dyDescent="0.25">
      <c r="B646"/>
      <c r="C646" s="1" t="s">
        <v>53</v>
      </c>
      <c r="D646" s="6" t="s">
        <v>63</v>
      </c>
      <c r="E646">
        <v>1</v>
      </c>
      <c r="F646"/>
      <c r="H646" s="4"/>
    </row>
    <row r="647" spans="2:8" x14ac:dyDescent="0.25">
      <c r="B647"/>
      <c r="C647" s="1" t="s">
        <v>54</v>
      </c>
      <c r="D647" s="6" t="s">
        <v>62</v>
      </c>
      <c r="E647">
        <v>2</v>
      </c>
      <c r="F647"/>
      <c r="H647" s="4"/>
    </row>
    <row r="648" spans="2:8" x14ac:dyDescent="0.25">
      <c r="B648"/>
      <c r="C648" s="1" t="s">
        <v>51</v>
      </c>
      <c r="D648" s="6" t="s">
        <v>69</v>
      </c>
      <c r="E648">
        <v>1</v>
      </c>
      <c r="F648"/>
      <c r="H648" s="4"/>
    </row>
    <row r="649" spans="2:8" x14ac:dyDescent="0.25">
      <c r="B649"/>
      <c r="C649" s="1" t="s">
        <v>52</v>
      </c>
      <c r="D649" s="6" t="s">
        <v>64</v>
      </c>
      <c r="E649">
        <v>1.5</v>
      </c>
      <c r="F649"/>
      <c r="H649" s="4"/>
    </row>
    <row r="650" spans="2:8" x14ac:dyDescent="0.25">
      <c r="B650"/>
      <c r="C650" s="1" t="s">
        <v>7</v>
      </c>
      <c r="D650" s="6" t="s">
        <v>68</v>
      </c>
      <c r="E650">
        <v>1.25</v>
      </c>
      <c r="F650"/>
      <c r="H650" s="4"/>
    </row>
    <row r="651" spans="2:8" x14ac:dyDescent="0.25">
      <c r="B651"/>
      <c r="C651" s="1" t="s">
        <v>53</v>
      </c>
      <c r="D651" s="6" t="s">
        <v>62</v>
      </c>
      <c r="E651">
        <v>2</v>
      </c>
      <c r="F651"/>
      <c r="H651" s="4"/>
    </row>
    <row r="652" spans="2:8" x14ac:dyDescent="0.25">
      <c r="B652"/>
      <c r="C652" s="1" t="s">
        <v>54</v>
      </c>
      <c r="D652" s="6" t="s">
        <v>62</v>
      </c>
      <c r="E652">
        <v>2</v>
      </c>
      <c r="F652"/>
      <c r="H652" s="4"/>
    </row>
    <row r="653" spans="2:8" x14ac:dyDescent="0.25">
      <c r="B653"/>
      <c r="C653" s="1" t="s">
        <v>51</v>
      </c>
      <c r="D653" s="6" t="s">
        <v>62</v>
      </c>
      <c r="E653">
        <v>2</v>
      </c>
      <c r="F653"/>
      <c r="H653" s="4"/>
    </row>
    <row r="654" spans="2:8" x14ac:dyDescent="0.25">
      <c r="B654"/>
      <c r="C654" s="1" t="s">
        <v>52</v>
      </c>
      <c r="D654" s="6" t="s">
        <v>66</v>
      </c>
      <c r="E654">
        <v>2.2999999999999998</v>
      </c>
      <c r="F654"/>
      <c r="H654" s="4"/>
    </row>
    <row r="655" spans="2:8" x14ac:dyDescent="0.25">
      <c r="B655"/>
      <c r="C655" s="1" t="s">
        <v>7</v>
      </c>
      <c r="D655" s="6" t="s">
        <v>62</v>
      </c>
      <c r="E655">
        <v>2</v>
      </c>
      <c r="F655"/>
      <c r="H655" s="4"/>
    </row>
    <row r="656" spans="2:8" x14ac:dyDescent="0.25">
      <c r="B656"/>
      <c r="C656" s="1" t="s">
        <v>53</v>
      </c>
      <c r="D656" s="6" t="s">
        <v>62</v>
      </c>
      <c r="E656">
        <v>2</v>
      </c>
      <c r="F656"/>
      <c r="H656" s="4"/>
    </row>
    <row r="657" spans="2:8" x14ac:dyDescent="0.25">
      <c r="B657"/>
      <c r="C657" s="1" t="s">
        <v>54</v>
      </c>
      <c r="D657" s="6" t="s">
        <v>64</v>
      </c>
      <c r="E657">
        <v>1.5</v>
      </c>
      <c r="F657"/>
      <c r="H657" s="4"/>
    </row>
    <row r="658" spans="2:8" x14ac:dyDescent="0.25">
      <c r="B658"/>
      <c r="C658" s="1" t="s">
        <v>51</v>
      </c>
      <c r="D658" s="6" t="s">
        <v>62</v>
      </c>
      <c r="E658">
        <v>2</v>
      </c>
      <c r="F658"/>
      <c r="H658" s="4"/>
    </row>
    <row r="659" spans="2:8" x14ac:dyDescent="0.25">
      <c r="B659"/>
      <c r="C659" s="1" t="s">
        <v>52</v>
      </c>
      <c r="D659" s="6" t="s">
        <v>65</v>
      </c>
      <c r="E659">
        <v>2</v>
      </c>
      <c r="F659"/>
      <c r="H659" s="4"/>
    </row>
    <row r="660" spans="2:8" x14ac:dyDescent="0.25">
      <c r="B660"/>
      <c r="C660" s="1" t="s">
        <v>7</v>
      </c>
      <c r="D660" s="6" t="s">
        <v>62</v>
      </c>
      <c r="E660">
        <v>2</v>
      </c>
      <c r="F660"/>
      <c r="H660" s="4"/>
    </row>
    <row r="661" spans="2:8" x14ac:dyDescent="0.25">
      <c r="B661"/>
      <c r="C661" s="1" t="s">
        <v>53</v>
      </c>
      <c r="D661" s="6" t="s">
        <v>62</v>
      </c>
      <c r="E661">
        <v>2</v>
      </c>
      <c r="F661"/>
      <c r="H661" s="4"/>
    </row>
    <row r="662" spans="2:8" x14ac:dyDescent="0.25">
      <c r="B662"/>
      <c r="C662" s="1" t="s">
        <v>54</v>
      </c>
      <c r="D662" s="6" t="s">
        <v>64</v>
      </c>
      <c r="E662">
        <v>1.5</v>
      </c>
      <c r="F662"/>
      <c r="H662" s="4"/>
    </row>
    <row r="663" spans="2:8" x14ac:dyDescent="0.25">
      <c r="B663"/>
      <c r="C663" s="1" t="s">
        <v>51</v>
      </c>
      <c r="D663" s="6" t="s">
        <v>66</v>
      </c>
      <c r="E663">
        <v>2.2999999999999998</v>
      </c>
      <c r="F663"/>
      <c r="H663" s="4"/>
    </row>
    <row r="664" spans="2:8" x14ac:dyDescent="0.25">
      <c r="B664"/>
      <c r="C664" s="1" t="s">
        <v>52</v>
      </c>
      <c r="D664" s="6" t="s">
        <v>71</v>
      </c>
      <c r="E664">
        <v>2.5</v>
      </c>
      <c r="F664"/>
      <c r="H664" s="4"/>
    </row>
    <row r="665" spans="2:8" x14ac:dyDescent="0.25">
      <c r="B665"/>
      <c r="C665" s="1" t="s">
        <v>7</v>
      </c>
      <c r="D665" s="6" t="s">
        <v>72</v>
      </c>
      <c r="E665">
        <v>0.5</v>
      </c>
      <c r="F665"/>
      <c r="H665" s="4"/>
    </row>
    <row r="666" spans="2:8" x14ac:dyDescent="0.25">
      <c r="B666"/>
      <c r="C666" s="1" t="s">
        <v>53</v>
      </c>
      <c r="D666" s="6" t="s">
        <v>62</v>
      </c>
      <c r="E666">
        <v>2</v>
      </c>
      <c r="F666"/>
      <c r="H666" s="4"/>
    </row>
    <row r="667" spans="2:8" x14ac:dyDescent="0.25">
      <c r="B667"/>
      <c r="C667" s="1" t="s">
        <v>54</v>
      </c>
      <c r="D667" s="6" t="s">
        <v>62</v>
      </c>
      <c r="E667">
        <v>2</v>
      </c>
      <c r="F667"/>
      <c r="H667" s="4"/>
    </row>
    <row r="668" spans="2:8" x14ac:dyDescent="0.25">
      <c r="B668"/>
      <c r="C668" s="1" t="s">
        <v>51</v>
      </c>
      <c r="D668" s="6" t="s">
        <v>63</v>
      </c>
      <c r="E668">
        <v>1</v>
      </c>
      <c r="F668"/>
      <c r="H668" s="4"/>
    </row>
    <row r="669" spans="2:8" x14ac:dyDescent="0.25">
      <c r="B669"/>
      <c r="C669" s="1" t="s">
        <v>52</v>
      </c>
      <c r="D669" s="6" t="s">
        <v>64</v>
      </c>
      <c r="E669">
        <v>1.5</v>
      </c>
      <c r="F669"/>
      <c r="H669" s="4"/>
    </row>
    <row r="670" spans="2:8" x14ac:dyDescent="0.25">
      <c r="B670"/>
      <c r="C670" s="1" t="s">
        <v>7</v>
      </c>
      <c r="D670" s="6" t="s">
        <v>66</v>
      </c>
      <c r="E670">
        <v>2.2999999999999998</v>
      </c>
      <c r="F670"/>
      <c r="H670" s="4"/>
    </row>
    <row r="671" spans="2:8" x14ac:dyDescent="0.25">
      <c r="B671"/>
      <c r="C671" s="1" t="s">
        <v>53</v>
      </c>
      <c r="D671" s="6" t="s">
        <v>63</v>
      </c>
      <c r="E671">
        <v>1</v>
      </c>
      <c r="F671"/>
      <c r="H671" s="4"/>
    </row>
    <row r="672" spans="2:8" x14ac:dyDescent="0.25">
      <c r="B672"/>
      <c r="C672" s="1" t="s">
        <v>54</v>
      </c>
      <c r="D672" s="6" t="s">
        <v>62</v>
      </c>
      <c r="E672">
        <v>2</v>
      </c>
      <c r="F672"/>
      <c r="H672" s="4"/>
    </row>
    <row r="673" spans="2:8" x14ac:dyDescent="0.25">
      <c r="B673"/>
      <c r="C673" s="1" t="s">
        <v>51</v>
      </c>
      <c r="D673" s="6" t="s">
        <v>69</v>
      </c>
      <c r="E673">
        <v>1</v>
      </c>
      <c r="F673"/>
      <c r="H673" s="4"/>
    </row>
    <row r="674" spans="2:8" x14ac:dyDescent="0.25">
      <c r="B674"/>
      <c r="C674" s="1" t="s">
        <v>52</v>
      </c>
      <c r="D674" s="6" t="s">
        <v>62</v>
      </c>
      <c r="E674">
        <v>2</v>
      </c>
      <c r="F674"/>
      <c r="H674" s="4"/>
    </row>
    <row r="675" spans="2:8" x14ac:dyDescent="0.25">
      <c r="B675"/>
      <c r="C675" s="1" t="s">
        <v>7</v>
      </c>
      <c r="D675" s="6" t="s">
        <v>69</v>
      </c>
      <c r="E675">
        <v>1</v>
      </c>
      <c r="F675"/>
      <c r="H675" s="4"/>
    </row>
    <row r="676" spans="2:8" x14ac:dyDescent="0.25">
      <c r="B676"/>
      <c r="C676" s="1" t="s">
        <v>53</v>
      </c>
      <c r="D676" s="6" t="s">
        <v>64</v>
      </c>
      <c r="E676">
        <v>1.5</v>
      </c>
      <c r="F676"/>
      <c r="H676" s="4"/>
    </row>
    <row r="677" spans="2:8" x14ac:dyDescent="0.25">
      <c r="B677"/>
      <c r="C677" s="1" t="s">
        <v>54</v>
      </c>
      <c r="D677" s="6" t="s">
        <v>68</v>
      </c>
      <c r="E677">
        <v>1.25</v>
      </c>
      <c r="F677"/>
      <c r="H677" s="4"/>
    </row>
    <row r="678" spans="2:8" x14ac:dyDescent="0.25">
      <c r="B678"/>
      <c r="C678" s="1" t="s">
        <v>51</v>
      </c>
      <c r="D678" s="6" t="s">
        <v>68</v>
      </c>
      <c r="E678">
        <v>1.25</v>
      </c>
      <c r="F678"/>
      <c r="H678" s="4"/>
    </row>
    <row r="679" spans="2:8" x14ac:dyDescent="0.25">
      <c r="B679"/>
      <c r="C679" s="1" t="s">
        <v>52</v>
      </c>
      <c r="D679" s="6" t="s">
        <v>69</v>
      </c>
      <c r="E679">
        <v>1</v>
      </c>
      <c r="F679"/>
      <c r="H679" s="4"/>
    </row>
    <row r="680" spans="2:8" x14ac:dyDescent="0.25">
      <c r="B680"/>
      <c r="C680" s="1" t="s">
        <v>7</v>
      </c>
      <c r="D680" s="6" t="s">
        <v>69</v>
      </c>
      <c r="E680">
        <v>1</v>
      </c>
      <c r="F680"/>
      <c r="H680" s="4"/>
    </row>
    <row r="681" spans="2:8" x14ac:dyDescent="0.25">
      <c r="B681"/>
      <c r="C681" s="1" t="s">
        <v>53</v>
      </c>
      <c r="D681" s="6" t="s">
        <v>75</v>
      </c>
      <c r="E681">
        <v>16</v>
      </c>
      <c r="F681"/>
      <c r="H681" s="4"/>
    </row>
    <row r="682" spans="2:8" x14ac:dyDescent="0.25">
      <c r="B682"/>
      <c r="C682" s="1" t="s">
        <v>54</v>
      </c>
      <c r="D682" s="6" t="s">
        <v>75</v>
      </c>
      <c r="E682">
        <v>16</v>
      </c>
      <c r="F682"/>
      <c r="H682" s="4"/>
    </row>
    <row r="683" spans="2:8" x14ac:dyDescent="0.25">
      <c r="B683"/>
      <c r="C683" s="1" t="s">
        <v>51</v>
      </c>
      <c r="D683" s="6" t="s">
        <v>75</v>
      </c>
      <c r="E683">
        <v>16</v>
      </c>
      <c r="F683"/>
      <c r="H683" s="4"/>
    </row>
    <row r="684" spans="2:8" x14ac:dyDescent="0.25">
      <c r="B684"/>
      <c r="C684" s="1" t="s">
        <v>52</v>
      </c>
      <c r="D684" s="6" t="s">
        <v>75</v>
      </c>
      <c r="E684">
        <v>16</v>
      </c>
      <c r="F684"/>
      <c r="H684" s="4"/>
    </row>
    <row r="685" spans="2:8" x14ac:dyDescent="0.25">
      <c r="B685"/>
      <c r="C685" s="1" t="s">
        <v>7</v>
      </c>
      <c r="D685" s="6" t="s">
        <v>75</v>
      </c>
      <c r="E685">
        <v>16</v>
      </c>
      <c r="F685"/>
      <c r="H685" s="4"/>
    </row>
    <row r="686" spans="2:8" x14ac:dyDescent="0.25">
      <c r="B686"/>
      <c r="C686" s="1" t="s">
        <v>53</v>
      </c>
      <c r="D686" s="6" t="s">
        <v>75</v>
      </c>
      <c r="E686">
        <v>16</v>
      </c>
      <c r="F686"/>
      <c r="H686" s="4"/>
    </row>
    <row r="687" spans="2:8" x14ac:dyDescent="0.25">
      <c r="B687"/>
      <c r="C687" s="1" t="s">
        <v>54</v>
      </c>
      <c r="D687" s="6" t="s">
        <v>75</v>
      </c>
      <c r="E687">
        <v>16</v>
      </c>
      <c r="F687"/>
      <c r="H687" s="4"/>
    </row>
    <row r="688" spans="2:8" x14ac:dyDescent="0.25">
      <c r="B688"/>
      <c r="C688" s="1" t="s">
        <v>51</v>
      </c>
      <c r="D688" s="6" t="s">
        <v>75</v>
      </c>
      <c r="E688">
        <v>16</v>
      </c>
      <c r="F688"/>
      <c r="H688" s="4"/>
    </row>
    <row r="689" spans="2:8" x14ac:dyDescent="0.25">
      <c r="B689"/>
      <c r="C689" s="1" t="s">
        <v>52</v>
      </c>
      <c r="D689" s="6" t="s">
        <v>62</v>
      </c>
      <c r="E689">
        <v>2</v>
      </c>
      <c r="F689"/>
      <c r="H689" s="4"/>
    </row>
    <row r="690" spans="2:8" x14ac:dyDescent="0.25">
      <c r="B690"/>
      <c r="C690" s="1" t="s">
        <v>7</v>
      </c>
      <c r="D690" s="6" t="s">
        <v>64</v>
      </c>
      <c r="E690">
        <v>1.5</v>
      </c>
      <c r="F690"/>
      <c r="H690" s="4"/>
    </row>
    <row r="691" spans="2:8" x14ac:dyDescent="0.25">
      <c r="B691"/>
      <c r="C691" s="1" t="s">
        <v>53</v>
      </c>
      <c r="D691" s="6" t="s">
        <v>75</v>
      </c>
      <c r="E691">
        <v>16</v>
      </c>
      <c r="F691"/>
      <c r="H691" s="4"/>
    </row>
    <row r="692" spans="2:8" x14ac:dyDescent="0.25">
      <c r="B692"/>
      <c r="C692" s="1" t="s">
        <v>54</v>
      </c>
      <c r="D692" s="6" t="s">
        <v>62</v>
      </c>
      <c r="E692">
        <v>2</v>
      </c>
      <c r="F692"/>
      <c r="H692" s="4"/>
    </row>
    <row r="693" spans="2:8" x14ac:dyDescent="0.25">
      <c r="B693"/>
      <c r="C693" s="1" t="s">
        <v>51</v>
      </c>
      <c r="D693" s="6" t="s">
        <v>62</v>
      </c>
      <c r="E693">
        <v>2</v>
      </c>
      <c r="F693"/>
      <c r="H693" s="4"/>
    </row>
    <row r="694" spans="2:8" x14ac:dyDescent="0.25">
      <c r="B694"/>
      <c r="C694" s="1" t="s">
        <v>52</v>
      </c>
      <c r="D694" s="6" t="s">
        <v>69</v>
      </c>
      <c r="E694">
        <v>1</v>
      </c>
      <c r="F694"/>
      <c r="H694" s="4"/>
    </row>
    <row r="695" spans="2:8" x14ac:dyDescent="0.25">
      <c r="B695"/>
      <c r="C695" s="1" t="s">
        <v>7</v>
      </c>
      <c r="D695" s="6" t="s">
        <v>69</v>
      </c>
      <c r="E695">
        <v>1</v>
      </c>
      <c r="F695"/>
      <c r="H695" s="4"/>
    </row>
    <row r="696" spans="2:8" x14ac:dyDescent="0.25">
      <c r="B696"/>
      <c r="C696" s="1" t="s">
        <v>53</v>
      </c>
      <c r="D696" s="6" t="s">
        <v>64</v>
      </c>
      <c r="E696">
        <v>1.5</v>
      </c>
      <c r="F696"/>
      <c r="H696" s="4"/>
    </row>
    <row r="697" spans="2:8" x14ac:dyDescent="0.25">
      <c r="B697"/>
      <c r="C697" s="1" t="s">
        <v>54</v>
      </c>
      <c r="D697" s="6" t="s">
        <v>66</v>
      </c>
      <c r="E697">
        <v>2.2999999999999998</v>
      </c>
      <c r="F697"/>
      <c r="H697" s="4"/>
    </row>
    <row r="698" spans="2:8" x14ac:dyDescent="0.25">
      <c r="B698"/>
      <c r="C698" s="1" t="s">
        <v>51</v>
      </c>
      <c r="D698" s="6" t="s">
        <v>64</v>
      </c>
      <c r="E698">
        <v>1.5</v>
      </c>
      <c r="F698"/>
      <c r="H698" s="4"/>
    </row>
    <row r="699" spans="2:8" x14ac:dyDescent="0.25">
      <c r="B699"/>
      <c r="C699" s="1" t="s">
        <v>52</v>
      </c>
      <c r="D699" s="6" t="s">
        <v>63</v>
      </c>
      <c r="E699">
        <v>1</v>
      </c>
      <c r="F699"/>
      <c r="H699" s="4"/>
    </row>
    <row r="700" spans="2:8" x14ac:dyDescent="0.25">
      <c r="B700"/>
      <c r="C700" s="1" t="s">
        <v>7</v>
      </c>
      <c r="D700" s="6" t="s">
        <v>62</v>
      </c>
      <c r="E700">
        <v>2</v>
      </c>
      <c r="F700"/>
      <c r="H700" s="4"/>
    </row>
    <row r="701" spans="2:8" x14ac:dyDescent="0.25">
      <c r="B701"/>
      <c r="C701" s="1" t="s">
        <v>53</v>
      </c>
      <c r="D701" s="6" t="s">
        <v>62</v>
      </c>
      <c r="E701">
        <v>2</v>
      </c>
      <c r="F701"/>
      <c r="H701" s="4"/>
    </row>
    <row r="702" spans="2:8" x14ac:dyDescent="0.25">
      <c r="B702"/>
      <c r="C702" s="1" t="s">
        <v>54</v>
      </c>
      <c r="D702" s="6" t="s">
        <v>62</v>
      </c>
      <c r="E702">
        <v>2</v>
      </c>
      <c r="F702"/>
      <c r="H702" s="4"/>
    </row>
    <row r="703" spans="2:8" x14ac:dyDescent="0.25">
      <c r="B703"/>
      <c r="C703" s="1" t="s">
        <v>51</v>
      </c>
      <c r="D703" s="6" t="s">
        <v>62</v>
      </c>
      <c r="E703">
        <v>2</v>
      </c>
      <c r="F703"/>
      <c r="H703" s="4"/>
    </row>
    <row r="704" spans="2:8" x14ac:dyDescent="0.25">
      <c r="B704"/>
      <c r="C704" s="1" t="s">
        <v>52</v>
      </c>
      <c r="D704" s="6" t="s">
        <v>74</v>
      </c>
      <c r="E704">
        <v>4</v>
      </c>
      <c r="F704"/>
      <c r="H704" s="4"/>
    </row>
    <row r="705" spans="2:8" x14ac:dyDescent="0.25">
      <c r="B705"/>
      <c r="C705" s="1" t="s">
        <v>7</v>
      </c>
      <c r="D705" s="6" t="s">
        <v>65</v>
      </c>
      <c r="E705">
        <v>2</v>
      </c>
      <c r="F705"/>
      <c r="H705" s="4"/>
    </row>
    <row r="706" spans="2:8" x14ac:dyDescent="0.25">
      <c r="B706"/>
      <c r="C706" s="1" t="s">
        <v>53</v>
      </c>
      <c r="D706" s="6" t="s">
        <v>62</v>
      </c>
      <c r="E706">
        <v>2</v>
      </c>
      <c r="F706"/>
      <c r="H706" s="4"/>
    </row>
    <row r="707" spans="2:8" x14ac:dyDescent="0.25">
      <c r="B707"/>
      <c r="C707" s="1" t="s">
        <v>54</v>
      </c>
      <c r="D707" s="6" t="s">
        <v>65</v>
      </c>
      <c r="E707">
        <v>2</v>
      </c>
      <c r="F707"/>
      <c r="H707" s="4"/>
    </row>
    <row r="708" spans="2:8" x14ac:dyDescent="0.25">
      <c r="B708"/>
      <c r="C708" s="1" t="s">
        <v>51</v>
      </c>
      <c r="D708" s="6" t="s">
        <v>66</v>
      </c>
      <c r="E708">
        <v>2.2999999999999998</v>
      </c>
      <c r="F708"/>
      <c r="H708" s="4"/>
    </row>
    <row r="709" spans="2:8" x14ac:dyDescent="0.25">
      <c r="B709"/>
      <c r="C709" s="1" t="s">
        <v>52</v>
      </c>
      <c r="D709" s="6" t="s">
        <v>62</v>
      </c>
      <c r="E709">
        <v>2</v>
      </c>
      <c r="F709"/>
      <c r="H709" s="4"/>
    </row>
    <row r="710" spans="2:8" x14ac:dyDescent="0.25">
      <c r="B710"/>
      <c r="C710" s="1" t="s">
        <v>7</v>
      </c>
      <c r="D710" s="6" t="s">
        <v>65</v>
      </c>
      <c r="E710">
        <v>2</v>
      </c>
      <c r="F710"/>
      <c r="H710" s="4"/>
    </row>
    <row r="711" spans="2:8" x14ac:dyDescent="0.25">
      <c r="B711"/>
      <c r="C711" s="1" t="s">
        <v>53</v>
      </c>
      <c r="D711" s="6" t="s">
        <v>65</v>
      </c>
      <c r="E711">
        <v>2</v>
      </c>
      <c r="F711"/>
      <c r="H711" s="4"/>
    </row>
    <row r="712" spans="2:8" x14ac:dyDescent="0.25">
      <c r="B712"/>
      <c r="C712" s="1" t="s">
        <v>54</v>
      </c>
      <c r="D712" s="6" t="s">
        <v>65</v>
      </c>
      <c r="E712">
        <v>2</v>
      </c>
      <c r="F712"/>
      <c r="H712" s="4"/>
    </row>
    <row r="713" spans="2:8" x14ac:dyDescent="0.25">
      <c r="B713"/>
      <c r="C713" s="1" t="s">
        <v>51</v>
      </c>
      <c r="D713" s="6" t="s">
        <v>77</v>
      </c>
      <c r="E713">
        <v>21.5</v>
      </c>
      <c r="F713"/>
      <c r="H713" s="4"/>
    </row>
    <row r="714" spans="2:8" x14ac:dyDescent="0.25">
      <c r="B714"/>
      <c r="C714" s="1" t="s">
        <v>52</v>
      </c>
      <c r="D714" s="6" t="s">
        <v>65</v>
      </c>
      <c r="E714">
        <v>2</v>
      </c>
      <c r="F714"/>
      <c r="H714" s="4"/>
    </row>
    <row r="715" spans="2:8" x14ac:dyDescent="0.25">
      <c r="B715"/>
      <c r="C715" s="1" t="s">
        <v>7</v>
      </c>
      <c r="D715" s="6" t="s">
        <v>62</v>
      </c>
      <c r="E715">
        <v>2</v>
      </c>
      <c r="F715"/>
      <c r="H715" s="4"/>
    </row>
    <row r="716" spans="2:8" x14ac:dyDescent="0.25">
      <c r="B716"/>
      <c r="C716" s="1" t="s">
        <v>53</v>
      </c>
      <c r="D716" s="6" t="s">
        <v>62</v>
      </c>
      <c r="E716">
        <v>2</v>
      </c>
      <c r="F716"/>
      <c r="H716" s="4"/>
    </row>
    <row r="717" spans="2:8" x14ac:dyDescent="0.25">
      <c r="B717"/>
      <c r="C717" s="1" t="s">
        <v>54</v>
      </c>
      <c r="D717" s="6" t="s">
        <v>65</v>
      </c>
      <c r="E717">
        <v>2</v>
      </c>
      <c r="F717"/>
      <c r="H717" s="4"/>
    </row>
    <row r="718" spans="2:8" x14ac:dyDescent="0.25">
      <c r="B718"/>
      <c r="C718" s="1" t="s">
        <v>51</v>
      </c>
      <c r="D718" s="6" t="s">
        <v>65</v>
      </c>
      <c r="E718">
        <v>2</v>
      </c>
      <c r="F718"/>
      <c r="H718" s="4"/>
    </row>
    <row r="719" spans="2:8" x14ac:dyDescent="0.25">
      <c r="B719"/>
      <c r="C719" s="1" t="s">
        <v>52</v>
      </c>
      <c r="D719" s="6" t="s">
        <v>69</v>
      </c>
      <c r="E719">
        <v>1</v>
      </c>
      <c r="F719"/>
      <c r="H719" s="4"/>
    </row>
    <row r="720" spans="2:8" x14ac:dyDescent="0.25">
      <c r="B720"/>
      <c r="C720" s="1" t="s">
        <v>7</v>
      </c>
      <c r="D720" s="6" t="s">
        <v>69</v>
      </c>
      <c r="E720">
        <v>1</v>
      </c>
      <c r="F720"/>
      <c r="H720" s="4"/>
    </row>
    <row r="721" spans="2:8" x14ac:dyDescent="0.25">
      <c r="B721"/>
      <c r="C721" s="1" t="s">
        <v>53</v>
      </c>
      <c r="D721" s="6" t="s">
        <v>69</v>
      </c>
      <c r="E721">
        <v>1</v>
      </c>
      <c r="F721"/>
      <c r="H721" s="4"/>
    </row>
    <row r="722" spans="2:8" x14ac:dyDescent="0.25">
      <c r="B722"/>
      <c r="C722" s="1" t="s">
        <v>54</v>
      </c>
      <c r="D722" s="6" t="s">
        <v>62</v>
      </c>
      <c r="E722">
        <v>2</v>
      </c>
      <c r="F722"/>
      <c r="H722" s="4"/>
    </row>
    <row r="723" spans="2:8" x14ac:dyDescent="0.25">
      <c r="B723"/>
      <c r="C723" s="1" t="s">
        <v>51</v>
      </c>
      <c r="D723" s="6" t="s">
        <v>65</v>
      </c>
      <c r="E723">
        <v>2</v>
      </c>
      <c r="F723"/>
      <c r="H723" s="4"/>
    </row>
    <row r="724" spans="2:8" x14ac:dyDescent="0.25">
      <c r="B724"/>
      <c r="C724" s="1" t="s">
        <v>52</v>
      </c>
      <c r="D724" s="6" t="s">
        <v>62</v>
      </c>
      <c r="E724">
        <v>2</v>
      </c>
      <c r="F724"/>
      <c r="H724" s="4"/>
    </row>
    <row r="725" spans="2:8" x14ac:dyDescent="0.25">
      <c r="B725"/>
      <c r="C725" s="1" t="s">
        <v>7</v>
      </c>
      <c r="D725" s="6" t="s">
        <v>69</v>
      </c>
      <c r="E725">
        <v>1</v>
      </c>
      <c r="F725"/>
      <c r="H725" s="4"/>
    </row>
    <row r="726" spans="2:8" x14ac:dyDescent="0.25">
      <c r="B726"/>
      <c r="C726" s="1" t="s">
        <v>53</v>
      </c>
      <c r="D726" s="6" t="s">
        <v>62</v>
      </c>
      <c r="E726">
        <v>2</v>
      </c>
      <c r="F726"/>
      <c r="H726" s="4"/>
    </row>
    <row r="727" spans="2:8" x14ac:dyDescent="0.25">
      <c r="B727"/>
      <c r="C727" s="1" t="s">
        <v>54</v>
      </c>
      <c r="D727" s="6" t="s">
        <v>62</v>
      </c>
      <c r="E727">
        <v>2</v>
      </c>
      <c r="F727"/>
      <c r="H727" s="4"/>
    </row>
    <row r="728" spans="2:8" x14ac:dyDescent="0.25">
      <c r="B728"/>
      <c r="C728" s="1" t="s">
        <v>51</v>
      </c>
      <c r="D728" s="6" t="s">
        <v>69</v>
      </c>
      <c r="E728">
        <v>1</v>
      </c>
      <c r="F728"/>
      <c r="H728" s="4"/>
    </row>
    <row r="729" spans="2:8" x14ac:dyDescent="0.25">
      <c r="B729"/>
      <c r="C729" s="1" t="s">
        <v>52</v>
      </c>
      <c r="D729" s="6" t="s">
        <v>66</v>
      </c>
      <c r="E729">
        <v>2.2999999999999998</v>
      </c>
      <c r="F729"/>
      <c r="H729" s="4"/>
    </row>
    <row r="730" spans="2:8" x14ac:dyDescent="0.25">
      <c r="B730"/>
      <c r="C730" s="1" t="s">
        <v>7</v>
      </c>
      <c r="D730" s="6" t="s">
        <v>66</v>
      </c>
      <c r="E730">
        <v>2.2999999999999998</v>
      </c>
      <c r="F730"/>
      <c r="H730" s="4"/>
    </row>
    <row r="731" spans="2:8" x14ac:dyDescent="0.25">
      <c r="B731"/>
      <c r="C731" s="1" t="s">
        <v>53</v>
      </c>
      <c r="D731" s="6" t="s">
        <v>63</v>
      </c>
      <c r="E731">
        <v>1</v>
      </c>
      <c r="F731"/>
      <c r="H731" s="4"/>
    </row>
    <row r="732" spans="2:8" x14ac:dyDescent="0.25">
      <c r="B732"/>
      <c r="C732" s="1" t="s">
        <v>54</v>
      </c>
      <c r="D732" s="6" t="s">
        <v>62</v>
      </c>
      <c r="E732">
        <v>2</v>
      </c>
      <c r="F732"/>
      <c r="H732" s="4"/>
    </row>
    <row r="733" spans="2:8" x14ac:dyDescent="0.25">
      <c r="B733"/>
      <c r="C733" s="1" t="s">
        <v>51</v>
      </c>
      <c r="D733" s="6" t="s">
        <v>64</v>
      </c>
      <c r="E733">
        <v>1.5</v>
      </c>
      <c r="F733"/>
      <c r="H733" s="4"/>
    </row>
    <row r="734" spans="2:8" x14ac:dyDescent="0.25">
      <c r="B734"/>
      <c r="C734" s="1" t="s">
        <v>52</v>
      </c>
      <c r="D734" s="6" t="s">
        <v>66</v>
      </c>
      <c r="E734">
        <v>2.2999999999999998</v>
      </c>
      <c r="F734"/>
      <c r="H734" s="4"/>
    </row>
    <row r="735" spans="2:8" x14ac:dyDescent="0.25">
      <c r="B735"/>
      <c r="C735" s="1" t="s">
        <v>7</v>
      </c>
      <c r="D735" s="6" t="s">
        <v>64</v>
      </c>
      <c r="E735">
        <v>1.5</v>
      </c>
      <c r="F735"/>
      <c r="H735" s="4"/>
    </row>
    <row r="736" spans="2:8" x14ac:dyDescent="0.25">
      <c r="B736"/>
      <c r="C736" s="1" t="s">
        <v>53</v>
      </c>
      <c r="D736" s="6" t="s">
        <v>62</v>
      </c>
      <c r="E736">
        <v>2</v>
      </c>
      <c r="F736"/>
      <c r="H736" s="4"/>
    </row>
    <row r="737" spans="2:8" x14ac:dyDescent="0.25">
      <c r="B737"/>
      <c r="C737" s="1" t="s">
        <v>54</v>
      </c>
      <c r="D737" s="6" t="s">
        <v>62</v>
      </c>
      <c r="E737">
        <v>2</v>
      </c>
      <c r="F737"/>
      <c r="H737" s="4"/>
    </row>
    <row r="738" spans="2:8" x14ac:dyDescent="0.25">
      <c r="B738"/>
      <c r="C738" s="1" t="s">
        <v>51</v>
      </c>
      <c r="D738" s="6" t="s">
        <v>88</v>
      </c>
      <c r="E738">
        <v>0.42</v>
      </c>
      <c r="F738"/>
      <c r="H738" s="4"/>
    </row>
    <row r="739" spans="2:8" x14ac:dyDescent="0.25">
      <c r="B739"/>
      <c r="C739" s="1" t="s">
        <v>52</v>
      </c>
      <c r="D739" s="6" t="s">
        <v>74</v>
      </c>
      <c r="E739">
        <v>4</v>
      </c>
      <c r="F739"/>
      <c r="H739" s="4"/>
    </row>
    <row r="740" spans="2:8" x14ac:dyDescent="0.25">
      <c r="B740"/>
      <c r="C740" s="1" t="s">
        <v>7</v>
      </c>
      <c r="D740" s="6" t="s">
        <v>71</v>
      </c>
      <c r="E740">
        <v>2.5</v>
      </c>
      <c r="F740"/>
      <c r="H740" s="4"/>
    </row>
    <row r="741" spans="2:8" x14ac:dyDescent="0.25">
      <c r="B741"/>
      <c r="C741" s="1" t="s">
        <v>53</v>
      </c>
      <c r="D741" s="6" t="s">
        <v>64</v>
      </c>
      <c r="E741">
        <v>1.5</v>
      </c>
      <c r="F741"/>
      <c r="H741" s="4"/>
    </row>
    <row r="742" spans="2:8" x14ac:dyDescent="0.25">
      <c r="B742"/>
      <c r="C742" s="1" t="s">
        <v>54</v>
      </c>
      <c r="D742" s="6" t="s">
        <v>64</v>
      </c>
      <c r="E742">
        <v>1.5</v>
      </c>
      <c r="F742"/>
      <c r="H742" s="4"/>
    </row>
    <row r="743" spans="2:8" x14ac:dyDescent="0.25">
      <c r="B743"/>
      <c r="C743" s="1" t="s">
        <v>51</v>
      </c>
      <c r="D743" s="6" t="s">
        <v>65</v>
      </c>
      <c r="E743">
        <v>2</v>
      </c>
      <c r="F743"/>
      <c r="H743" s="4"/>
    </row>
    <row r="744" spans="2:8" x14ac:dyDescent="0.25">
      <c r="B744"/>
      <c r="C744" s="1" t="s">
        <v>52</v>
      </c>
      <c r="D744" s="6" t="s">
        <v>65</v>
      </c>
      <c r="E744">
        <v>2</v>
      </c>
      <c r="F744"/>
      <c r="H744" s="4"/>
    </row>
    <row r="745" spans="2:8" x14ac:dyDescent="0.25">
      <c r="B745"/>
      <c r="C745" s="1" t="s">
        <v>7</v>
      </c>
      <c r="D745" s="6" t="s">
        <v>62</v>
      </c>
      <c r="E745">
        <v>2</v>
      </c>
      <c r="F745"/>
      <c r="H745" s="4"/>
    </row>
    <row r="746" spans="2:8" x14ac:dyDescent="0.25">
      <c r="B746"/>
      <c r="C746" s="1" t="s">
        <v>53</v>
      </c>
      <c r="D746" s="6" t="s">
        <v>62</v>
      </c>
      <c r="E746">
        <v>2</v>
      </c>
      <c r="F746"/>
      <c r="H746" s="4"/>
    </row>
    <row r="747" spans="2:8" x14ac:dyDescent="0.25">
      <c r="B747"/>
      <c r="C747" s="1" t="s">
        <v>54</v>
      </c>
      <c r="D747" s="6" t="s">
        <v>66</v>
      </c>
      <c r="E747">
        <v>2.2999999999999998</v>
      </c>
      <c r="F747"/>
      <c r="H747" s="4"/>
    </row>
    <row r="748" spans="2:8" x14ac:dyDescent="0.25">
      <c r="B748"/>
      <c r="C748" s="1" t="s">
        <v>51</v>
      </c>
      <c r="D748" s="6" t="s">
        <v>72</v>
      </c>
      <c r="E748">
        <v>0.5</v>
      </c>
      <c r="F748"/>
      <c r="H748" s="4"/>
    </row>
    <row r="749" spans="2:8" x14ac:dyDescent="0.25">
      <c r="B749"/>
      <c r="C749" s="1" t="s">
        <v>52</v>
      </c>
      <c r="D749" s="6" t="s">
        <v>62</v>
      </c>
      <c r="E749">
        <v>2</v>
      </c>
      <c r="F749"/>
      <c r="H749" s="4"/>
    </row>
    <row r="750" spans="2:8" x14ac:dyDescent="0.25">
      <c r="B750"/>
      <c r="C750" s="1" t="s">
        <v>7</v>
      </c>
      <c r="D750" s="6" t="s">
        <v>64</v>
      </c>
      <c r="E750">
        <v>1.5</v>
      </c>
      <c r="F750"/>
      <c r="H750" s="4"/>
    </row>
    <row r="751" spans="2:8" x14ac:dyDescent="0.25">
      <c r="B751"/>
      <c r="C751" s="1" t="s">
        <v>53</v>
      </c>
      <c r="D751" s="6" t="s">
        <v>65</v>
      </c>
      <c r="E751">
        <v>2</v>
      </c>
      <c r="F751"/>
      <c r="H751" s="4"/>
    </row>
    <row r="752" spans="2:8" x14ac:dyDescent="0.25">
      <c r="B752"/>
      <c r="C752" s="1" t="s">
        <v>54</v>
      </c>
      <c r="D752" s="6" t="s">
        <v>62</v>
      </c>
      <c r="E752">
        <v>2</v>
      </c>
      <c r="F752"/>
      <c r="H752" s="4"/>
    </row>
    <row r="753" spans="2:8" x14ac:dyDescent="0.25">
      <c r="B753"/>
      <c r="C753" s="1" t="s">
        <v>51</v>
      </c>
      <c r="D753" s="6" t="s">
        <v>62</v>
      </c>
      <c r="E753">
        <v>2</v>
      </c>
      <c r="F753"/>
      <c r="H753" s="4"/>
    </row>
    <row r="754" spans="2:8" x14ac:dyDescent="0.25">
      <c r="B754"/>
      <c r="C754" s="1" t="s">
        <v>52</v>
      </c>
      <c r="D754" s="6" t="s">
        <v>62</v>
      </c>
      <c r="E754">
        <v>2</v>
      </c>
      <c r="F754"/>
      <c r="H754" s="4"/>
    </row>
    <row r="755" spans="2:8" x14ac:dyDescent="0.25">
      <c r="B755"/>
      <c r="C755" s="1" t="s">
        <v>7</v>
      </c>
      <c r="D755" s="6" t="s">
        <v>67</v>
      </c>
      <c r="E755">
        <v>3</v>
      </c>
      <c r="F755"/>
      <c r="H755" s="4"/>
    </row>
    <row r="756" spans="2:8" x14ac:dyDescent="0.25">
      <c r="B756"/>
      <c r="C756" s="1" t="s">
        <v>53</v>
      </c>
      <c r="D756" s="6" t="s">
        <v>62</v>
      </c>
      <c r="E756">
        <v>2</v>
      </c>
      <c r="F756"/>
      <c r="H756" s="4"/>
    </row>
    <row r="757" spans="2:8" x14ac:dyDescent="0.25">
      <c r="B757"/>
      <c r="C757" s="1" t="s">
        <v>54</v>
      </c>
      <c r="D757" s="6" t="s">
        <v>62</v>
      </c>
      <c r="E757">
        <v>2</v>
      </c>
      <c r="F757"/>
      <c r="H757" s="4"/>
    </row>
    <row r="758" spans="2:8" x14ac:dyDescent="0.25">
      <c r="B758"/>
      <c r="C758" s="1" t="s">
        <v>51</v>
      </c>
      <c r="D758" s="6" t="s">
        <v>62</v>
      </c>
      <c r="E758">
        <v>2</v>
      </c>
      <c r="F758"/>
      <c r="H758" s="4"/>
    </row>
    <row r="759" spans="2:8" x14ac:dyDescent="0.25">
      <c r="B759"/>
      <c r="C759" s="1" t="s">
        <v>52</v>
      </c>
      <c r="D759" s="6" t="s">
        <v>62</v>
      </c>
      <c r="E759">
        <v>2</v>
      </c>
      <c r="F759"/>
      <c r="H759" s="4"/>
    </row>
    <row r="760" spans="2:8" x14ac:dyDescent="0.25">
      <c r="B760"/>
      <c r="C760" s="1" t="s">
        <v>7</v>
      </c>
      <c r="D760" s="6" t="s">
        <v>62</v>
      </c>
      <c r="E760">
        <v>2</v>
      </c>
      <c r="F760"/>
      <c r="H760" s="4"/>
    </row>
    <row r="761" spans="2:8" x14ac:dyDescent="0.25">
      <c r="B761"/>
      <c r="C761" s="1" t="s">
        <v>53</v>
      </c>
      <c r="D761" s="6" t="s">
        <v>69</v>
      </c>
      <c r="E761">
        <v>1</v>
      </c>
      <c r="F761"/>
      <c r="H761" s="4"/>
    </row>
    <row r="762" spans="2:8" x14ac:dyDescent="0.25">
      <c r="B762"/>
      <c r="C762" s="1" t="s">
        <v>54</v>
      </c>
      <c r="D762" s="6" t="s">
        <v>65</v>
      </c>
      <c r="E762">
        <v>2</v>
      </c>
      <c r="F762"/>
      <c r="H762" s="4"/>
    </row>
    <row r="763" spans="2:8" x14ac:dyDescent="0.25">
      <c r="B763"/>
      <c r="C763" s="1" t="s">
        <v>51</v>
      </c>
      <c r="D763" s="6" t="s">
        <v>70</v>
      </c>
      <c r="E763">
        <v>15</v>
      </c>
      <c r="F763"/>
      <c r="H763" s="4"/>
    </row>
    <row r="764" spans="2:8" x14ac:dyDescent="0.25">
      <c r="B764"/>
      <c r="C764" s="1" t="s">
        <v>52</v>
      </c>
      <c r="D764" s="6" t="s">
        <v>66</v>
      </c>
      <c r="E764">
        <v>2.2999999999999998</v>
      </c>
      <c r="F764"/>
      <c r="H764" s="4"/>
    </row>
    <row r="765" spans="2:8" x14ac:dyDescent="0.25">
      <c r="B765"/>
      <c r="C765" s="1" t="s">
        <v>7</v>
      </c>
      <c r="D765" s="6" t="s">
        <v>74</v>
      </c>
      <c r="E765">
        <v>4</v>
      </c>
      <c r="F765"/>
      <c r="H765" s="4"/>
    </row>
    <row r="766" spans="2:8" x14ac:dyDescent="0.25">
      <c r="B766"/>
      <c r="C766" s="1" t="s">
        <v>53</v>
      </c>
      <c r="D766" s="6" t="s">
        <v>67</v>
      </c>
      <c r="E766">
        <v>3</v>
      </c>
      <c r="F766"/>
      <c r="H766" s="4"/>
    </row>
    <row r="767" spans="2:8" x14ac:dyDescent="0.25">
      <c r="B767"/>
      <c r="C767" s="1" t="s">
        <v>54</v>
      </c>
      <c r="D767" s="6" t="s">
        <v>64</v>
      </c>
      <c r="E767">
        <v>1.5</v>
      </c>
      <c r="F767"/>
      <c r="H767" s="4"/>
    </row>
    <row r="768" spans="2:8" x14ac:dyDescent="0.25">
      <c r="B768"/>
      <c r="C768" s="1" t="s">
        <v>51</v>
      </c>
      <c r="D768" s="6" t="s">
        <v>69</v>
      </c>
      <c r="E768">
        <v>1</v>
      </c>
      <c r="F768"/>
      <c r="H768" s="4"/>
    </row>
    <row r="769" spans="2:8" x14ac:dyDescent="0.25">
      <c r="B769"/>
      <c r="C769" s="1" t="s">
        <v>52</v>
      </c>
      <c r="D769" s="6" t="s">
        <v>89</v>
      </c>
      <c r="E769">
        <v>2.83</v>
      </c>
      <c r="F769"/>
      <c r="H769" s="4"/>
    </row>
    <row r="770" spans="2:8" x14ac:dyDescent="0.25">
      <c r="B770"/>
      <c r="C770" s="1" t="s">
        <v>7</v>
      </c>
      <c r="D770" s="6" t="s">
        <v>66</v>
      </c>
      <c r="E770">
        <v>2.2999999999999998</v>
      </c>
      <c r="F770"/>
      <c r="H770" s="4"/>
    </row>
    <row r="771" spans="2:8" x14ac:dyDescent="0.25">
      <c r="B771"/>
      <c r="C771" s="1" t="s">
        <v>53</v>
      </c>
      <c r="D771" s="6" t="s">
        <v>88</v>
      </c>
      <c r="E771">
        <v>0.42</v>
      </c>
      <c r="F771"/>
      <c r="H771" s="4"/>
    </row>
    <row r="772" spans="2:8" x14ac:dyDescent="0.25">
      <c r="B772"/>
      <c r="C772" s="1" t="s">
        <v>54</v>
      </c>
      <c r="D772" s="6" t="s">
        <v>69</v>
      </c>
      <c r="E772">
        <v>1</v>
      </c>
      <c r="F772"/>
      <c r="H772" s="4"/>
    </row>
    <row r="773" spans="2:8" x14ac:dyDescent="0.25">
      <c r="B773"/>
      <c r="C773" s="1" t="s">
        <v>51</v>
      </c>
      <c r="D773" s="6" t="s">
        <v>62</v>
      </c>
      <c r="E773">
        <v>2</v>
      </c>
      <c r="F773"/>
      <c r="H773" s="4"/>
    </row>
    <row r="774" spans="2:8" x14ac:dyDescent="0.25">
      <c r="B774"/>
      <c r="C774" s="1" t="s">
        <v>52</v>
      </c>
      <c r="D774" s="6" t="s">
        <v>62</v>
      </c>
      <c r="E774">
        <v>2</v>
      </c>
      <c r="F774"/>
      <c r="H774" s="4"/>
    </row>
    <row r="775" spans="2:8" x14ac:dyDescent="0.25">
      <c r="B775"/>
      <c r="C775" s="1" t="s">
        <v>7</v>
      </c>
      <c r="D775" s="6" t="s">
        <v>90</v>
      </c>
      <c r="E775">
        <v>3.3</v>
      </c>
      <c r="F775"/>
      <c r="H775" s="4"/>
    </row>
    <row r="776" spans="2:8" x14ac:dyDescent="0.25">
      <c r="B776"/>
      <c r="C776" s="1" t="s">
        <v>53</v>
      </c>
      <c r="D776" s="6" t="s">
        <v>63</v>
      </c>
      <c r="E776">
        <v>1</v>
      </c>
      <c r="F776"/>
      <c r="H776" s="4"/>
    </row>
    <row r="777" spans="2:8" x14ac:dyDescent="0.25">
      <c r="B777"/>
      <c r="C777" s="1" t="s">
        <v>54</v>
      </c>
      <c r="D777" s="6" t="s">
        <v>62</v>
      </c>
      <c r="E777">
        <v>2</v>
      </c>
      <c r="F777"/>
      <c r="H777" s="4"/>
    </row>
    <row r="778" spans="2:8" x14ac:dyDescent="0.25">
      <c r="B778"/>
      <c r="C778" s="1" t="s">
        <v>51</v>
      </c>
      <c r="D778" s="6" t="s">
        <v>66</v>
      </c>
      <c r="E778">
        <v>2.2999999999999998</v>
      </c>
      <c r="F778"/>
      <c r="H778" s="4"/>
    </row>
    <row r="779" spans="2:8" x14ac:dyDescent="0.25">
      <c r="B779"/>
      <c r="C779" s="1" t="s">
        <v>52</v>
      </c>
      <c r="D779" s="6" t="s">
        <v>68</v>
      </c>
      <c r="E779">
        <v>1.25</v>
      </c>
      <c r="F779"/>
      <c r="H779" s="4"/>
    </row>
    <row r="780" spans="2:8" x14ac:dyDescent="0.25">
      <c r="B780"/>
      <c r="C780" s="1" t="s">
        <v>7</v>
      </c>
      <c r="D780" s="6" t="s">
        <v>62</v>
      </c>
      <c r="E780">
        <v>2</v>
      </c>
      <c r="F780"/>
      <c r="H780" s="4"/>
    </row>
    <row r="781" spans="2:8" x14ac:dyDescent="0.25">
      <c r="B781"/>
      <c r="C781" s="1" t="s">
        <v>53</v>
      </c>
      <c r="D781" s="6" t="s">
        <v>64</v>
      </c>
      <c r="E781">
        <v>1.5</v>
      </c>
      <c r="F781"/>
      <c r="H781" s="4"/>
    </row>
    <row r="782" spans="2:8" x14ac:dyDescent="0.25">
      <c r="B782"/>
      <c r="C782" s="1" t="s">
        <v>54</v>
      </c>
      <c r="D782" s="6" t="s">
        <v>62</v>
      </c>
      <c r="E782">
        <v>2</v>
      </c>
      <c r="F782"/>
      <c r="H782" s="4"/>
    </row>
    <row r="783" spans="2:8" x14ac:dyDescent="0.25">
      <c r="B783"/>
      <c r="C783" s="1" t="s">
        <v>51</v>
      </c>
      <c r="D783" s="6" t="s">
        <v>69</v>
      </c>
      <c r="E783">
        <v>1</v>
      </c>
      <c r="F783"/>
      <c r="H783" s="4"/>
    </row>
    <row r="784" spans="2:8" x14ac:dyDescent="0.25">
      <c r="B784"/>
      <c r="C784" s="1" t="s">
        <v>52</v>
      </c>
      <c r="D784" s="6" t="s">
        <v>64</v>
      </c>
      <c r="E784">
        <v>1.5</v>
      </c>
      <c r="F784"/>
      <c r="H784" s="4"/>
    </row>
    <row r="785" spans="2:8" x14ac:dyDescent="0.25">
      <c r="B785"/>
      <c r="C785" s="1" t="s">
        <v>7</v>
      </c>
      <c r="D785" s="6" t="s">
        <v>69</v>
      </c>
      <c r="E785">
        <v>1</v>
      </c>
      <c r="F785"/>
      <c r="H785" s="4"/>
    </row>
    <row r="786" spans="2:8" x14ac:dyDescent="0.25">
      <c r="B786"/>
      <c r="C786" s="1" t="s">
        <v>53</v>
      </c>
      <c r="D786" s="6" t="s">
        <v>63</v>
      </c>
      <c r="E786">
        <v>1</v>
      </c>
      <c r="F786"/>
      <c r="H786" s="4"/>
    </row>
    <row r="787" spans="2:8" x14ac:dyDescent="0.25">
      <c r="B787"/>
      <c r="C787" s="1" t="s">
        <v>54</v>
      </c>
      <c r="D787" s="6" t="s">
        <v>62</v>
      </c>
      <c r="E787">
        <v>2</v>
      </c>
      <c r="F787"/>
      <c r="H787" s="4"/>
    </row>
    <row r="788" spans="2:8" x14ac:dyDescent="0.25">
      <c r="B788"/>
      <c r="C788" s="1" t="s">
        <v>51</v>
      </c>
      <c r="D788" s="6" t="s">
        <v>62</v>
      </c>
      <c r="E788">
        <v>2</v>
      </c>
      <c r="F788"/>
      <c r="H788" s="4"/>
    </row>
    <row r="789" spans="2:8" x14ac:dyDescent="0.25">
      <c r="B789"/>
      <c r="C789" s="1" t="s">
        <v>52</v>
      </c>
      <c r="D789" s="6" t="s">
        <v>62</v>
      </c>
      <c r="E789">
        <v>2</v>
      </c>
      <c r="F789"/>
      <c r="H789" s="4"/>
    </row>
    <row r="790" spans="2:8" x14ac:dyDescent="0.25">
      <c r="B790"/>
      <c r="C790" s="1" t="s">
        <v>7</v>
      </c>
      <c r="D790" s="6" t="s">
        <v>69</v>
      </c>
      <c r="E790">
        <v>1</v>
      </c>
      <c r="F790"/>
      <c r="H790" s="4"/>
    </row>
    <row r="791" spans="2:8" x14ac:dyDescent="0.25">
      <c r="B791"/>
      <c r="C791" s="1" t="s">
        <v>53</v>
      </c>
      <c r="D791" s="6" t="s">
        <v>63</v>
      </c>
      <c r="E791">
        <v>1</v>
      </c>
      <c r="F791"/>
      <c r="H791" s="4"/>
    </row>
    <row r="792" spans="2:8" x14ac:dyDescent="0.25">
      <c r="B792"/>
      <c r="C792" s="1" t="s">
        <v>54</v>
      </c>
      <c r="D792" s="6" t="s">
        <v>62</v>
      </c>
      <c r="E792">
        <v>2</v>
      </c>
      <c r="F792"/>
      <c r="H792" s="4"/>
    </row>
    <row r="793" spans="2:8" x14ac:dyDescent="0.25">
      <c r="B793"/>
      <c r="C793" s="1" t="s">
        <v>51</v>
      </c>
      <c r="D793" s="6" t="s">
        <v>62</v>
      </c>
      <c r="E793">
        <v>2</v>
      </c>
      <c r="F793"/>
      <c r="H793" s="4"/>
    </row>
    <row r="794" spans="2:8" x14ac:dyDescent="0.25">
      <c r="B794"/>
      <c r="C794" s="1" t="s">
        <v>52</v>
      </c>
      <c r="D794" s="6" t="s">
        <v>69</v>
      </c>
      <c r="E794">
        <v>1</v>
      </c>
      <c r="F794"/>
      <c r="H794" s="4"/>
    </row>
    <row r="795" spans="2:8" x14ac:dyDescent="0.25">
      <c r="B795"/>
      <c r="C795" s="1" t="s">
        <v>7</v>
      </c>
      <c r="D795" s="6" t="s">
        <v>63</v>
      </c>
      <c r="E795">
        <v>1</v>
      </c>
      <c r="F795"/>
      <c r="H795" s="4"/>
    </row>
    <row r="796" spans="2:8" x14ac:dyDescent="0.25">
      <c r="B796"/>
      <c r="C796" s="1" t="s">
        <v>53</v>
      </c>
      <c r="D796" s="6" t="s">
        <v>64</v>
      </c>
      <c r="E796">
        <v>1.5</v>
      </c>
      <c r="F796"/>
      <c r="H796" s="4"/>
    </row>
    <row r="797" spans="2:8" x14ac:dyDescent="0.25">
      <c r="B797"/>
      <c r="C797" s="1" t="s">
        <v>54</v>
      </c>
      <c r="D797" s="6" t="s">
        <v>69</v>
      </c>
      <c r="E797">
        <v>1</v>
      </c>
      <c r="F797"/>
      <c r="H797" s="4"/>
    </row>
    <row r="798" spans="2:8" x14ac:dyDescent="0.25">
      <c r="B798"/>
      <c r="C798" s="1" t="s">
        <v>51</v>
      </c>
      <c r="D798" s="6" t="s">
        <v>71</v>
      </c>
      <c r="E798">
        <v>2.5</v>
      </c>
      <c r="F798"/>
      <c r="H798" s="4"/>
    </row>
    <row r="799" spans="2:8" x14ac:dyDescent="0.25">
      <c r="B799"/>
      <c r="C799" s="1" t="s">
        <v>52</v>
      </c>
      <c r="D799" s="6" t="s">
        <v>62</v>
      </c>
      <c r="E799">
        <v>2</v>
      </c>
      <c r="F799"/>
      <c r="H799" s="4"/>
    </row>
    <row r="800" spans="2:8" x14ac:dyDescent="0.25">
      <c r="B800"/>
      <c r="C800" s="1" t="s">
        <v>7</v>
      </c>
      <c r="D800" s="6" t="s">
        <v>66</v>
      </c>
      <c r="E800">
        <v>2.2999999999999998</v>
      </c>
      <c r="F800"/>
      <c r="H800" s="4"/>
    </row>
    <row r="801" spans="2:8" x14ac:dyDescent="0.25">
      <c r="B801"/>
      <c r="C801" s="1" t="s">
        <v>53</v>
      </c>
      <c r="D801" s="6" t="s">
        <v>62</v>
      </c>
      <c r="E801">
        <v>2</v>
      </c>
      <c r="F801"/>
      <c r="H801" s="4"/>
    </row>
    <row r="802" spans="2:8" x14ac:dyDescent="0.25">
      <c r="B802"/>
      <c r="C802" s="1" t="s">
        <v>54</v>
      </c>
      <c r="D802" s="6" t="s">
        <v>62</v>
      </c>
      <c r="E802">
        <v>2</v>
      </c>
      <c r="F802"/>
      <c r="H802" s="4"/>
    </row>
    <row r="803" spans="2:8" x14ac:dyDescent="0.25">
      <c r="B803"/>
      <c r="C803" s="1" t="s">
        <v>51</v>
      </c>
      <c r="D803" s="6" t="s">
        <v>66</v>
      </c>
      <c r="E803">
        <v>2.2999999999999998</v>
      </c>
      <c r="F803"/>
      <c r="H803" s="4"/>
    </row>
    <row r="804" spans="2:8" x14ac:dyDescent="0.25">
      <c r="B804"/>
      <c r="C804" s="1" t="s">
        <v>52</v>
      </c>
      <c r="D804" s="6" t="s">
        <v>69</v>
      </c>
      <c r="E804">
        <v>1</v>
      </c>
      <c r="F804"/>
      <c r="H804" s="4"/>
    </row>
    <row r="805" spans="2:8" x14ac:dyDescent="0.25">
      <c r="B805"/>
      <c r="C805" s="1" t="s">
        <v>7</v>
      </c>
      <c r="D805" s="6" t="s">
        <v>64</v>
      </c>
      <c r="E805">
        <v>1.5</v>
      </c>
      <c r="F805"/>
      <c r="H805" s="4"/>
    </row>
    <row r="806" spans="2:8" x14ac:dyDescent="0.25">
      <c r="B806"/>
      <c r="C806" s="1" t="s">
        <v>53</v>
      </c>
      <c r="D806" s="6" t="s">
        <v>62</v>
      </c>
      <c r="E806">
        <v>2</v>
      </c>
      <c r="F806"/>
      <c r="H806" s="4"/>
    </row>
    <row r="807" spans="2:8" x14ac:dyDescent="0.25">
      <c r="B807"/>
      <c r="C807" s="1" t="s">
        <v>54</v>
      </c>
      <c r="D807" s="6" t="s">
        <v>69</v>
      </c>
      <c r="E807">
        <v>1</v>
      </c>
      <c r="F807"/>
      <c r="H807" s="4"/>
    </row>
    <row r="808" spans="2:8" x14ac:dyDescent="0.25">
      <c r="B808"/>
      <c r="C808" s="1" t="s">
        <v>51</v>
      </c>
      <c r="D808" s="6" t="s">
        <v>70</v>
      </c>
      <c r="E808">
        <v>15</v>
      </c>
      <c r="F808"/>
      <c r="H808" s="4"/>
    </row>
    <row r="809" spans="2:8" x14ac:dyDescent="0.25">
      <c r="B809"/>
      <c r="C809" s="1" t="s">
        <v>52</v>
      </c>
      <c r="D809" s="6" t="s">
        <v>64</v>
      </c>
      <c r="E809">
        <v>1.5</v>
      </c>
      <c r="F809"/>
      <c r="H809" s="4"/>
    </row>
    <row r="810" spans="2:8" x14ac:dyDescent="0.25">
      <c r="B810"/>
      <c r="C810" s="1" t="s">
        <v>7</v>
      </c>
      <c r="D810" s="6" t="s">
        <v>66</v>
      </c>
      <c r="E810">
        <v>2.2999999999999998</v>
      </c>
      <c r="F810"/>
      <c r="H810" s="4"/>
    </row>
    <row r="811" spans="2:8" x14ac:dyDescent="0.25">
      <c r="B811"/>
      <c r="C811" s="1" t="s">
        <v>53</v>
      </c>
      <c r="D811" s="6" t="s">
        <v>91</v>
      </c>
      <c r="E811">
        <v>0</v>
      </c>
      <c r="F811"/>
      <c r="H811" s="4"/>
    </row>
    <row r="812" spans="2:8" x14ac:dyDescent="0.25">
      <c r="B812"/>
      <c r="C812" s="1" t="s">
        <v>54</v>
      </c>
      <c r="D812" s="6" t="s">
        <v>62</v>
      </c>
      <c r="E812">
        <v>2</v>
      </c>
      <c r="F812"/>
      <c r="H812" s="4"/>
    </row>
    <row r="813" spans="2:8" x14ac:dyDescent="0.25">
      <c r="B813"/>
      <c r="C813" s="1" t="s">
        <v>51</v>
      </c>
      <c r="D813" s="6" t="s">
        <v>65</v>
      </c>
      <c r="E813">
        <v>2</v>
      </c>
      <c r="F813"/>
      <c r="H813" s="4"/>
    </row>
    <row r="814" spans="2:8" x14ac:dyDescent="0.25">
      <c r="B814"/>
      <c r="C814" s="1" t="s">
        <v>52</v>
      </c>
      <c r="D814" s="6" t="s">
        <v>62</v>
      </c>
      <c r="E814">
        <v>2</v>
      </c>
      <c r="F814"/>
      <c r="H814" s="4"/>
    </row>
    <row r="815" spans="2:8" x14ac:dyDescent="0.25">
      <c r="B815"/>
      <c r="C815" s="1" t="s">
        <v>7</v>
      </c>
      <c r="D815" s="6" t="s">
        <v>69</v>
      </c>
      <c r="E815">
        <v>1</v>
      </c>
      <c r="F815"/>
      <c r="H815" s="4"/>
    </row>
    <row r="816" spans="2:8" x14ac:dyDescent="0.25">
      <c r="B816"/>
      <c r="C816" s="1" t="s">
        <v>53</v>
      </c>
      <c r="D816" s="6" t="s">
        <v>62</v>
      </c>
      <c r="E816">
        <v>2</v>
      </c>
      <c r="F816"/>
      <c r="H816" s="4"/>
    </row>
    <row r="817" spans="2:8" x14ac:dyDescent="0.25">
      <c r="B817"/>
      <c r="C817" s="1" t="s">
        <v>54</v>
      </c>
      <c r="D817" s="6" t="s">
        <v>64</v>
      </c>
      <c r="E817">
        <v>1.5</v>
      </c>
      <c r="F817"/>
      <c r="H817" s="4"/>
    </row>
    <row r="818" spans="2:8" x14ac:dyDescent="0.25">
      <c r="B818"/>
      <c r="C818" s="1" t="s">
        <v>51</v>
      </c>
      <c r="D818" s="6" t="s">
        <v>62</v>
      </c>
      <c r="E818">
        <v>2</v>
      </c>
      <c r="F818"/>
      <c r="H818" s="4"/>
    </row>
    <row r="819" spans="2:8" x14ac:dyDescent="0.25">
      <c r="B819"/>
      <c r="C819" s="1" t="s">
        <v>52</v>
      </c>
      <c r="D819" s="6" t="s">
        <v>62</v>
      </c>
      <c r="E819">
        <v>2</v>
      </c>
      <c r="F819"/>
      <c r="H819" s="4"/>
    </row>
    <row r="820" spans="2:8" x14ac:dyDescent="0.25">
      <c r="B820"/>
      <c r="C820" s="1" t="s">
        <v>7</v>
      </c>
      <c r="D820" s="6" t="s">
        <v>67</v>
      </c>
      <c r="E820">
        <v>3</v>
      </c>
      <c r="F820"/>
      <c r="H820" s="4"/>
    </row>
    <row r="821" spans="2:8" x14ac:dyDescent="0.25">
      <c r="B821"/>
      <c r="C821" s="1" t="s">
        <v>53</v>
      </c>
      <c r="D821" s="6" t="s">
        <v>64</v>
      </c>
      <c r="E821">
        <v>1.5</v>
      </c>
      <c r="F821"/>
      <c r="H821" s="4"/>
    </row>
    <row r="822" spans="2:8" x14ac:dyDescent="0.25">
      <c r="B822"/>
      <c r="C822" s="1" t="s">
        <v>54</v>
      </c>
      <c r="D822" s="6" t="s">
        <v>64</v>
      </c>
      <c r="E822">
        <v>1.5</v>
      </c>
      <c r="F822"/>
      <c r="H822" s="4"/>
    </row>
    <row r="823" spans="2:8" x14ac:dyDescent="0.25">
      <c r="B823"/>
      <c r="C823" s="1" t="s">
        <v>51</v>
      </c>
      <c r="D823" s="6" t="s">
        <v>64</v>
      </c>
      <c r="E823">
        <v>1.5</v>
      </c>
      <c r="F823"/>
      <c r="H823" s="4"/>
    </row>
    <row r="824" spans="2:8" x14ac:dyDescent="0.25">
      <c r="B824"/>
      <c r="C824" s="1" t="s">
        <v>52</v>
      </c>
      <c r="D824" s="6" t="s">
        <v>65</v>
      </c>
      <c r="E824">
        <v>2</v>
      </c>
      <c r="F824"/>
      <c r="H824" s="4"/>
    </row>
    <row r="825" spans="2:8" x14ac:dyDescent="0.25">
      <c r="B825"/>
      <c r="C825" s="1" t="s">
        <v>7</v>
      </c>
      <c r="D825" s="6" t="s">
        <v>64</v>
      </c>
      <c r="E825">
        <v>1.5</v>
      </c>
      <c r="F825"/>
      <c r="H825" s="4"/>
    </row>
    <row r="826" spans="2:8" x14ac:dyDescent="0.25">
      <c r="B826"/>
      <c r="C826" s="1" t="s">
        <v>53</v>
      </c>
      <c r="D826" s="6" t="s">
        <v>62</v>
      </c>
      <c r="E826">
        <v>2</v>
      </c>
      <c r="F826"/>
      <c r="H826" s="4"/>
    </row>
    <row r="827" spans="2:8" x14ac:dyDescent="0.25">
      <c r="B827"/>
      <c r="C827" s="1" t="s">
        <v>54</v>
      </c>
      <c r="D827" s="6" t="s">
        <v>69</v>
      </c>
      <c r="E827">
        <v>1</v>
      </c>
      <c r="F827"/>
      <c r="H827" s="4"/>
    </row>
    <row r="828" spans="2:8" x14ac:dyDescent="0.25">
      <c r="B828"/>
      <c r="C828" s="1" t="s">
        <v>51</v>
      </c>
      <c r="D828" s="6" t="s">
        <v>62</v>
      </c>
      <c r="E828">
        <v>2</v>
      </c>
      <c r="F828"/>
      <c r="H828" s="4"/>
    </row>
    <row r="829" spans="2:8" x14ac:dyDescent="0.25">
      <c r="B829"/>
      <c r="C829" s="1" t="s">
        <v>52</v>
      </c>
      <c r="D829" s="6" t="s">
        <v>71</v>
      </c>
      <c r="E829">
        <v>2.5</v>
      </c>
      <c r="F829"/>
      <c r="H829" s="4"/>
    </row>
    <row r="830" spans="2:8" x14ac:dyDescent="0.25">
      <c r="B830"/>
      <c r="C830" s="1" t="s">
        <v>7</v>
      </c>
      <c r="D830" s="6" t="s">
        <v>92</v>
      </c>
      <c r="E830">
        <v>9.7000000000000003E-2</v>
      </c>
      <c r="F830"/>
      <c r="H830" s="4"/>
    </row>
    <row r="831" spans="2:8" x14ac:dyDescent="0.25">
      <c r="B831"/>
      <c r="C831" s="1" t="s">
        <v>53</v>
      </c>
      <c r="D831" s="6" t="s">
        <v>66</v>
      </c>
      <c r="E831">
        <v>2.2999999999999998</v>
      </c>
      <c r="F831"/>
      <c r="H831" s="4"/>
    </row>
    <row r="832" spans="2:8" x14ac:dyDescent="0.25">
      <c r="B832"/>
      <c r="C832" s="1" t="s">
        <v>54</v>
      </c>
      <c r="D832" s="6" t="s">
        <v>69</v>
      </c>
      <c r="E832">
        <v>1</v>
      </c>
      <c r="F832"/>
      <c r="H832" s="4"/>
    </row>
    <row r="833" spans="2:8" x14ac:dyDescent="0.25">
      <c r="B833"/>
      <c r="C833" s="1" t="s">
        <v>51</v>
      </c>
      <c r="D833" s="6" t="s">
        <v>69</v>
      </c>
      <c r="E833">
        <v>1</v>
      </c>
      <c r="F833"/>
      <c r="H833" s="4"/>
    </row>
    <row r="834" spans="2:8" x14ac:dyDescent="0.25">
      <c r="B834"/>
      <c r="C834" s="1" t="s">
        <v>52</v>
      </c>
      <c r="D834" s="6" t="s">
        <v>62</v>
      </c>
      <c r="E834">
        <v>2</v>
      </c>
      <c r="F834"/>
      <c r="H834" s="4"/>
    </row>
    <row r="835" spans="2:8" x14ac:dyDescent="0.25">
      <c r="B835"/>
      <c r="C835" s="1" t="s">
        <v>7</v>
      </c>
      <c r="D835" s="6" t="s">
        <v>62</v>
      </c>
      <c r="E835">
        <v>2</v>
      </c>
      <c r="F835"/>
      <c r="H835" s="4"/>
    </row>
    <row r="836" spans="2:8" x14ac:dyDescent="0.25">
      <c r="B836"/>
      <c r="C836" s="1" t="s">
        <v>53</v>
      </c>
      <c r="D836" s="6" t="s">
        <v>66</v>
      </c>
      <c r="E836">
        <v>2.2999999999999998</v>
      </c>
      <c r="F836"/>
      <c r="H836" s="4"/>
    </row>
    <row r="837" spans="2:8" x14ac:dyDescent="0.25">
      <c r="B837"/>
      <c r="C837" s="1" t="s">
        <v>54</v>
      </c>
      <c r="D837" s="6" t="s">
        <v>64</v>
      </c>
      <c r="E837">
        <v>1.5</v>
      </c>
      <c r="F837"/>
      <c r="H837" s="4"/>
    </row>
    <row r="838" spans="2:8" x14ac:dyDescent="0.25">
      <c r="B838"/>
      <c r="C838" s="1" t="s">
        <v>51</v>
      </c>
      <c r="D838" s="6" t="s">
        <v>69</v>
      </c>
      <c r="E838">
        <v>1</v>
      </c>
      <c r="F838"/>
      <c r="H838" s="4"/>
    </row>
    <row r="839" spans="2:8" x14ac:dyDescent="0.25">
      <c r="B839"/>
      <c r="C839" s="1" t="s">
        <v>52</v>
      </c>
      <c r="D839" s="6" t="s">
        <v>86</v>
      </c>
      <c r="E839">
        <v>3.5</v>
      </c>
      <c r="F839"/>
      <c r="H839" s="4"/>
    </row>
    <row r="840" spans="2:8" x14ac:dyDescent="0.25">
      <c r="B840"/>
      <c r="C840" s="1" t="s">
        <v>7</v>
      </c>
      <c r="D840" s="6" t="s">
        <v>69</v>
      </c>
      <c r="E840">
        <v>1</v>
      </c>
      <c r="F840"/>
      <c r="H840" s="4"/>
    </row>
    <row r="841" spans="2:8" x14ac:dyDescent="0.25">
      <c r="B841"/>
      <c r="C841" s="1" t="s">
        <v>53</v>
      </c>
      <c r="D841" s="6" t="s">
        <v>62</v>
      </c>
      <c r="E841">
        <v>2</v>
      </c>
      <c r="F841"/>
      <c r="H841" s="4"/>
    </row>
    <row r="842" spans="2:8" x14ac:dyDescent="0.25">
      <c r="B842"/>
      <c r="C842" s="1" t="s">
        <v>54</v>
      </c>
      <c r="D842" s="6" t="s">
        <v>68</v>
      </c>
      <c r="E842">
        <v>1.25</v>
      </c>
      <c r="F842"/>
      <c r="H842" s="4"/>
    </row>
    <row r="843" spans="2:8" x14ac:dyDescent="0.25">
      <c r="B843"/>
      <c r="C843" s="1" t="s">
        <v>51</v>
      </c>
      <c r="D843" s="6" t="s">
        <v>71</v>
      </c>
      <c r="E843">
        <v>2.5</v>
      </c>
      <c r="F843"/>
      <c r="H843" s="4"/>
    </row>
    <row r="844" spans="2:8" x14ac:dyDescent="0.25">
      <c r="B844"/>
      <c r="C844" s="1" t="s">
        <v>52</v>
      </c>
      <c r="D844" s="6" t="s">
        <v>62</v>
      </c>
      <c r="E844">
        <v>2</v>
      </c>
      <c r="F844"/>
      <c r="H844" s="4"/>
    </row>
    <row r="845" spans="2:8" x14ac:dyDescent="0.25">
      <c r="B845"/>
      <c r="C845" s="1" t="s">
        <v>7</v>
      </c>
      <c r="D845" s="6" t="s">
        <v>66</v>
      </c>
      <c r="E845">
        <v>2.2999999999999998</v>
      </c>
      <c r="F845"/>
      <c r="H845" s="4"/>
    </row>
    <row r="846" spans="2:8" x14ac:dyDescent="0.25">
      <c r="B846"/>
      <c r="C846" s="1" t="s">
        <v>53</v>
      </c>
      <c r="D846" s="6" t="s">
        <v>69</v>
      </c>
      <c r="E846">
        <v>1</v>
      </c>
      <c r="F846"/>
      <c r="H846" s="4"/>
    </row>
    <row r="847" spans="2:8" x14ac:dyDescent="0.25">
      <c r="B847"/>
      <c r="C847" s="1" t="s">
        <v>54</v>
      </c>
      <c r="D847" s="6" t="s">
        <v>64</v>
      </c>
      <c r="E847">
        <v>1.5</v>
      </c>
      <c r="F847"/>
      <c r="H847" s="4"/>
    </row>
    <row r="848" spans="2:8" x14ac:dyDescent="0.25">
      <c r="B848"/>
      <c r="C848" s="1" t="s">
        <v>51</v>
      </c>
      <c r="D848" s="6" t="s">
        <v>63</v>
      </c>
      <c r="E848">
        <v>1</v>
      </c>
      <c r="F848"/>
      <c r="H848" s="4"/>
    </row>
    <row r="849" spans="2:8" x14ac:dyDescent="0.25">
      <c r="B849"/>
      <c r="C849" s="1" t="s">
        <v>52</v>
      </c>
      <c r="D849" s="6" t="s">
        <v>62</v>
      </c>
      <c r="E849">
        <v>2</v>
      </c>
      <c r="F849"/>
      <c r="H849" s="4"/>
    </row>
    <row r="850" spans="2:8" x14ac:dyDescent="0.25">
      <c r="B850"/>
      <c r="C850" s="1" t="s">
        <v>7</v>
      </c>
      <c r="D850" s="6" t="s">
        <v>63</v>
      </c>
      <c r="E850">
        <v>1</v>
      </c>
      <c r="F850"/>
      <c r="H850" s="4"/>
    </row>
    <row r="851" spans="2:8" x14ac:dyDescent="0.25">
      <c r="B851"/>
      <c r="C851" s="1" t="s">
        <v>53</v>
      </c>
      <c r="D851" s="6" t="s">
        <v>62</v>
      </c>
      <c r="E851">
        <v>2</v>
      </c>
      <c r="F851"/>
      <c r="H851" s="4"/>
    </row>
    <row r="852" spans="2:8" x14ac:dyDescent="0.25">
      <c r="B852"/>
      <c r="C852" s="1" t="s">
        <v>54</v>
      </c>
      <c r="D852" s="6" t="s">
        <v>62</v>
      </c>
      <c r="E852">
        <v>2</v>
      </c>
      <c r="F852"/>
      <c r="H852" s="4"/>
    </row>
    <row r="853" spans="2:8" x14ac:dyDescent="0.25">
      <c r="B853"/>
      <c r="C853" s="1" t="s">
        <v>51</v>
      </c>
      <c r="D853" s="6" t="s">
        <v>64</v>
      </c>
      <c r="E853">
        <v>1.5</v>
      </c>
      <c r="F853"/>
      <c r="H853" s="4"/>
    </row>
    <row r="854" spans="2:8" x14ac:dyDescent="0.25">
      <c r="B854"/>
      <c r="C854" s="1" t="s">
        <v>52</v>
      </c>
      <c r="D854" s="6" t="s">
        <v>64</v>
      </c>
      <c r="E854">
        <v>1.5</v>
      </c>
      <c r="F854"/>
      <c r="H854" s="4"/>
    </row>
    <row r="855" spans="2:8" x14ac:dyDescent="0.25">
      <c r="B855"/>
      <c r="C855" s="1" t="s">
        <v>7</v>
      </c>
      <c r="D855" s="6" t="s">
        <v>63</v>
      </c>
      <c r="E855">
        <v>1</v>
      </c>
      <c r="F855"/>
      <c r="H855" s="4"/>
    </row>
    <row r="856" spans="2:8" x14ac:dyDescent="0.25">
      <c r="B856"/>
      <c r="C856" s="1" t="s">
        <v>53</v>
      </c>
      <c r="D856" s="6" t="s">
        <v>62</v>
      </c>
      <c r="E856">
        <v>2</v>
      </c>
      <c r="F856"/>
      <c r="H856" s="4"/>
    </row>
    <row r="857" spans="2:8" x14ac:dyDescent="0.25">
      <c r="B857"/>
      <c r="C857" s="1" t="s">
        <v>54</v>
      </c>
      <c r="D857" s="6" t="s">
        <v>69</v>
      </c>
      <c r="E857">
        <v>1</v>
      </c>
      <c r="F857"/>
      <c r="H857" s="4"/>
    </row>
    <row r="858" spans="2:8" x14ac:dyDescent="0.25">
      <c r="B858"/>
      <c r="C858" s="1" t="s">
        <v>51</v>
      </c>
      <c r="D858" s="6" t="s">
        <v>64</v>
      </c>
      <c r="E858">
        <v>1.5</v>
      </c>
      <c r="F858"/>
      <c r="H858" s="4"/>
    </row>
    <row r="859" spans="2:8" x14ac:dyDescent="0.25">
      <c r="B859"/>
      <c r="C859" s="1" t="s">
        <v>52</v>
      </c>
      <c r="D859" s="6" t="s">
        <v>62</v>
      </c>
      <c r="E859">
        <v>2</v>
      </c>
      <c r="F859"/>
      <c r="H859" s="4"/>
    </row>
    <row r="860" spans="2:8" x14ac:dyDescent="0.25">
      <c r="B860"/>
      <c r="C860" s="1" t="s">
        <v>7</v>
      </c>
      <c r="D860" s="6" t="s">
        <v>71</v>
      </c>
      <c r="E860">
        <v>2.5</v>
      </c>
      <c r="F860"/>
      <c r="H860" s="4"/>
    </row>
    <row r="861" spans="2:8" x14ac:dyDescent="0.25">
      <c r="B861"/>
      <c r="C861" s="1" t="s">
        <v>53</v>
      </c>
      <c r="D861" s="6" t="s">
        <v>62</v>
      </c>
      <c r="E861">
        <v>2</v>
      </c>
      <c r="F861"/>
      <c r="H861" s="4"/>
    </row>
    <row r="862" spans="2:8" x14ac:dyDescent="0.25">
      <c r="B862"/>
      <c r="C862" s="1" t="s">
        <v>54</v>
      </c>
      <c r="D862" s="6" t="s">
        <v>62</v>
      </c>
      <c r="E862">
        <v>2</v>
      </c>
      <c r="F862"/>
      <c r="H862" s="4"/>
    </row>
    <row r="863" spans="2:8" x14ac:dyDescent="0.25">
      <c r="B863"/>
      <c r="C863" s="1" t="s">
        <v>51</v>
      </c>
      <c r="D863" s="6" t="s">
        <v>62</v>
      </c>
      <c r="E863">
        <v>2</v>
      </c>
      <c r="F863"/>
      <c r="H863" s="4"/>
    </row>
    <row r="864" spans="2:8" x14ac:dyDescent="0.25">
      <c r="B864"/>
      <c r="C864" s="1" t="s">
        <v>52</v>
      </c>
      <c r="D864" s="6" t="s">
        <v>74</v>
      </c>
      <c r="E864">
        <v>4</v>
      </c>
      <c r="F864"/>
      <c r="H864" s="4"/>
    </row>
    <row r="865" spans="2:8" x14ac:dyDescent="0.25">
      <c r="B865"/>
      <c r="C865" s="1" t="s">
        <v>7</v>
      </c>
      <c r="D865" s="6" t="s">
        <v>69</v>
      </c>
      <c r="E865">
        <v>1</v>
      </c>
      <c r="F865"/>
      <c r="H865" s="4"/>
    </row>
    <row r="866" spans="2:8" x14ac:dyDescent="0.25">
      <c r="B866"/>
      <c r="C866" s="1" t="s">
        <v>53</v>
      </c>
      <c r="D866" s="6" t="s">
        <v>62</v>
      </c>
      <c r="E866">
        <v>2</v>
      </c>
      <c r="F866"/>
      <c r="H866" s="4"/>
    </row>
    <row r="867" spans="2:8" x14ac:dyDescent="0.25">
      <c r="B867"/>
      <c r="C867" s="1" t="s">
        <v>54</v>
      </c>
      <c r="D867" s="6" t="s">
        <v>62</v>
      </c>
      <c r="E867">
        <v>2</v>
      </c>
      <c r="F867"/>
      <c r="H867" s="4"/>
    </row>
    <row r="868" spans="2:8" x14ac:dyDescent="0.25">
      <c r="B868"/>
      <c r="C868" s="1" t="s">
        <v>51</v>
      </c>
      <c r="D868" s="6" t="s">
        <v>62</v>
      </c>
      <c r="E868">
        <v>2</v>
      </c>
      <c r="F868"/>
      <c r="H868" s="4"/>
    </row>
    <row r="869" spans="2:8" x14ac:dyDescent="0.25">
      <c r="B869"/>
      <c r="C869" s="1" t="s">
        <v>52</v>
      </c>
      <c r="D869" s="6" t="s">
        <v>62</v>
      </c>
      <c r="E869">
        <v>2</v>
      </c>
      <c r="F869"/>
      <c r="H869" s="4"/>
    </row>
    <row r="870" spans="2:8" x14ac:dyDescent="0.25">
      <c r="B870"/>
      <c r="C870" s="1" t="s">
        <v>7</v>
      </c>
      <c r="D870" s="6" t="s">
        <v>64</v>
      </c>
      <c r="E870">
        <v>1.5</v>
      </c>
      <c r="F870"/>
      <c r="H870" s="4"/>
    </row>
    <row r="871" spans="2:8" x14ac:dyDescent="0.25">
      <c r="B871"/>
      <c r="C871" s="1" t="s">
        <v>53</v>
      </c>
      <c r="D871" s="6" t="s">
        <v>63</v>
      </c>
      <c r="E871">
        <v>1</v>
      </c>
      <c r="F871"/>
      <c r="H871" s="4"/>
    </row>
    <row r="872" spans="2:8" x14ac:dyDescent="0.25">
      <c r="B872"/>
      <c r="C872" s="1" t="s">
        <v>54</v>
      </c>
      <c r="D872" s="6" t="s">
        <v>63</v>
      </c>
      <c r="E872">
        <v>1</v>
      </c>
      <c r="F872"/>
      <c r="H872" s="4"/>
    </row>
    <row r="873" spans="2:8" x14ac:dyDescent="0.25">
      <c r="B873"/>
      <c r="C873" s="1" t="s">
        <v>51</v>
      </c>
      <c r="D873" s="6" t="s">
        <v>63</v>
      </c>
      <c r="E873">
        <v>1</v>
      </c>
      <c r="F873"/>
      <c r="H873" s="4"/>
    </row>
    <row r="874" spans="2:8" x14ac:dyDescent="0.25">
      <c r="B874"/>
      <c r="C874" s="1" t="s">
        <v>52</v>
      </c>
      <c r="D874" s="6" t="s">
        <v>62</v>
      </c>
      <c r="E874">
        <v>2</v>
      </c>
      <c r="F874"/>
      <c r="H874" s="4"/>
    </row>
    <row r="875" spans="2:8" x14ac:dyDescent="0.25">
      <c r="B875"/>
      <c r="C875" s="1" t="s">
        <v>7</v>
      </c>
      <c r="D875" s="6" t="s">
        <v>62</v>
      </c>
      <c r="E875">
        <v>2</v>
      </c>
      <c r="F875"/>
      <c r="H875" s="4"/>
    </row>
    <row r="876" spans="2:8" x14ac:dyDescent="0.25">
      <c r="B876"/>
      <c r="C876" s="1" t="s">
        <v>53</v>
      </c>
      <c r="D876" s="6" t="s">
        <v>69</v>
      </c>
      <c r="E876">
        <v>1</v>
      </c>
      <c r="F876"/>
      <c r="H876" s="4"/>
    </row>
    <row r="877" spans="2:8" x14ac:dyDescent="0.25">
      <c r="B877"/>
      <c r="C877" s="1" t="s">
        <v>54</v>
      </c>
      <c r="D877" s="6" t="s">
        <v>62</v>
      </c>
      <c r="E877">
        <v>2</v>
      </c>
      <c r="F877"/>
      <c r="H877" s="4"/>
    </row>
    <row r="878" spans="2:8" x14ac:dyDescent="0.25">
      <c r="B878"/>
      <c r="C878" s="1" t="s">
        <v>51</v>
      </c>
      <c r="D878" s="6" t="s">
        <v>66</v>
      </c>
      <c r="E878">
        <v>2.2999999999999998</v>
      </c>
      <c r="F878"/>
      <c r="H878" s="4"/>
    </row>
    <row r="879" spans="2:8" x14ac:dyDescent="0.25">
      <c r="B879"/>
      <c r="C879" s="1" t="s">
        <v>52</v>
      </c>
      <c r="D879" s="6" t="s">
        <v>66</v>
      </c>
      <c r="E879">
        <v>2.2999999999999998</v>
      </c>
      <c r="F879"/>
      <c r="H879" s="4"/>
    </row>
    <row r="880" spans="2:8" x14ac:dyDescent="0.25">
      <c r="B880"/>
      <c r="C880" s="1" t="s">
        <v>7</v>
      </c>
      <c r="D880" s="6" t="s">
        <v>64</v>
      </c>
      <c r="E880">
        <v>1.5</v>
      </c>
      <c r="F880"/>
      <c r="H880" s="4"/>
    </row>
    <row r="881" spans="2:8" x14ac:dyDescent="0.25">
      <c r="B881"/>
      <c r="C881" s="1" t="s">
        <v>53</v>
      </c>
      <c r="D881" s="6" t="s">
        <v>66</v>
      </c>
      <c r="E881">
        <v>2.2999999999999998</v>
      </c>
      <c r="F881"/>
      <c r="H881" s="4"/>
    </row>
    <row r="882" spans="2:8" x14ac:dyDescent="0.25">
      <c r="B882"/>
      <c r="C882" s="1" t="s">
        <v>54</v>
      </c>
      <c r="D882" s="6" t="s">
        <v>75</v>
      </c>
      <c r="E882">
        <v>16</v>
      </c>
      <c r="F882"/>
      <c r="H882" s="4"/>
    </row>
    <row r="883" spans="2:8" x14ac:dyDescent="0.25">
      <c r="B883"/>
      <c r="C883" s="1" t="s">
        <v>51</v>
      </c>
      <c r="D883" s="6" t="s">
        <v>75</v>
      </c>
      <c r="E883">
        <v>16</v>
      </c>
      <c r="F883"/>
      <c r="H883" s="4"/>
    </row>
    <row r="884" spans="2:8" x14ac:dyDescent="0.25">
      <c r="B884"/>
      <c r="C884" s="1" t="s">
        <v>52</v>
      </c>
      <c r="D884" s="6" t="s">
        <v>75</v>
      </c>
      <c r="E884">
        <v>16</v>
      </c>
      <c r="F884"/>
      <c r="H884" s="4"/>
    </row>
    <row r="885" spans="2:8" x14ac:dyDescent="0.25">
      <c r="B885"/>
      <c r="C885" s="1" t="s">
        <v>7</v>
      </c>
      <c r="D885" s="6" t="s">
        <v>75</v>
      </c>
      <c r="E885">
        <v>16</v>
      </c>
      <c r="F885"/>
      <c r="H885" s="4"/>
    </row>
    <row r="886" spans="2:8" x14ac:dyDescent="0.25">
      <c r="B886"/>
      <c r="C886" s="1" t="s">
        <v>53</v>
      </c>
      <c r="D886" s="6" t="s">
        <v>75</v>
      </c>
      <c r="E886">
        <v>16</v>
      </c>
      <c r="F886"/>
      <c r="H886" s="4"/>
    </row>
    <row r="887" spans="2:8" x14ac:dyDescent="0.25">
      <c r="B887"/>
      <c r="C887" s="1" t="s">
        <v>54</v>
      </c>
      <c r="D887" s="6" t="s">
        <v>75</v>
      </c>
      <c r="E887">
        <v>16</v>
      </c>
      <c r="F887"/>
      <c r="H887" s="4"/>
    </row>
    <row r="888" spans="2:8" x14ac:dyDescent="0.25">
      <c r="B888"/>
      <c r="C888" s="1" t="s">
        <v>51</v>
      </c>
      <c r="D888" s="6" t="s">
        <v>75</v>
      </c>
      <c r="E888">
        <v>16</v>
      </c>
      <c r="F888"/>
      <c r="H888" s="4"/>
    </row>
    <row r="889" spans="2:8" x14ac:dyDescent="0.25">
      <c r="B889"/>
      <c r="C889" s="1" t="s">
        <v>52</v>
      </c>
      <c r="D889" s="6" t="s">
        <v>75</v>
      </c>
      <c r="E889">
        <v>16</v>
      </c>
      <c r="F889"/>
      <c r="H889" s="4"/>
    </row>
    <row r="890" spans="2:8" x14ac:dyDescent="0.25">
      <c r="B890"/>
      <c r="C890" s="1" t="s">
        <v>7</v>
      </c>
      <c r="D890" s="6" t="s">
        <v>64</v>
      </c>
      <c r="E890">
        <v>1.5</v>
      </c>
      <c r="F890"/>
      <c r="H890" s="4"/>
    </row>
    <row r="891" spans="2:8" x14ac:dyDescent="0.25">
      <c r="B891"/>
      <c r="C891" s="1" t="s">
        <v>53</v>
      </c>
      <c r="D891" s="6" t="s">
        <v>62</v>
      </c>
      <c r="E891">
        <v>2</v>
      </c>
      <c r="F891"/>
      <c r="H891" s="4"/>
    </row>
    <row r="892" spans="2:8" x14ac:dyDescent="0.25">
      <c r="B892"/>
      <c r="C892" s="1" t="s">
        <v>54</v>
      </c>
      <c r="D892" s="6" t="s">
        <v>62</v>
      </c>
      <c r="E892">
        <v>2</v>
      </c>
      <c r="F892"/>
      <c r="H892" s="4"/>
    </row>
    <row r="893" spans="2:8" x14ac:dyDescent="0.25">
      <c r="B893"/>
      <c r="C893" s="1" t="s">
        <v>51</v>
      </c>
      <c r="D893" s="6" t="s">
        <v>75</v>
      </c>
      <c r="E893">
        <v>16</v>
      </c>
      <c r="F893"/>
      <c r="H893" s="4"/>
    </row>
    <row r="894" spans="2:8" x14ac:dyDescent="0.25">
      <c r="B894"/>
      <c r="C894" s="1" t="s">
        <v>52</v>
      </c>
      <c r="D894" s="6" t="s">
        <v>71</v>
      </c>
      <c r="E894">
        <v>2.5</v>
      </c>
      <c r="F894"/>
      <c r="H894" s="4"/>
    </row>
    <row r="895" spans="2:8" x14ac:dyDescent="0.25">
      <c r="B895"/>
      <c r="C895" s="1" t="s">
        <v>7</v>
      </c>
      <c r="D895" s="6" t="s">
        <v>62</v>
      </c>
      <c r="E895">
        <v>2</v>
      </c>
      <c r="F895"/>
      <c r="H895" s="4"/>
    </row>
    <row r="896" spans="2:8" x14ac:dyDescent="0.25">
      <c r="B896"/>
      <c r="C896" s="1" t="s">
        <v>53</v>
      </c>
      <c r="D896" s="6" t="s">
        <v>74</v>
      </c>
      <c r="E896">
        <v>4</v>
      </c>
      <c r="F896"/>
      <c r="H896" s="4"/>
    </row>
    <row r="897" spans="2:8" x14ac:dyDescent="0.25">
      <c r="B897"/>
      <c r="C897" s="1" t="s">
        <v>54</v>
      </c>
      <c r="D897" s="6" t="s">
        <v>63</v>
      </c>
      <c r="E897">
        <v>1</v>
      </c>
      <c r="F897"/>
      <c r="H897" s="4"/>
    </row>
    <row r="898" spans="2:8" x14ac:dyDescent="0.25">
      <c r="B898"/>
      <c r="C898" s="1" t="s">
        <v>51</v>
      </c>
      <c r="D898" s="6" t="s">
        <v>63</v>
      </c>
      <c r="E898">
        <v>1</v>
      </c>
      <c r="F898"/>
      <c r="H898" s="4"/>
    </row>
    <row r="899" spans="2:8" x14ac:dyDescent="0.25">
      <c r="B899"/>
      <c r="C899" s="1" t="s">
        <v>52</v>
      </c>
      <c r="D899" s="6" t="s">
        <v>64</v>
      </c>
      <c r="E899">
        <v>1.5</v>
      </c>
      <c r="F899"/>
      <c r="H899" s="4"/>
    </row>
    <row r="900" spans="2:8" x14ac:dyDescent="0.25">
      <c r="B900"/>
      <c r="C900" s="1" t="s">
        <v>7</v>
      </c>
      <c r="D900" s="6" t="s">
        <v>62</v>
      </c>
      <c r="E900">
        <v>2</v>
      </c>
      <c r="F900"/>
      <c r="H900" s="4"/>
    </row>
    <row r="901" spans="2:8" x14ac:dyDescent="0.25">
      <c r="B901"/>
      <c r="C901" s="1" t="s">
        <v>53</v>
      </c>
      <c r="D901" s="6" t="s">
        <v>62</v>
      </c>
      <c r="E901">
        <v>2</v>
      </c>
      <c r="F901"/>
      <c r="H901" s="4"/>
    </row>
    <row r="902" spans="2:8" x14ac:dyDescent="0.25">
      <c r="B902"/>
      <c r="C902" s="1" t="s">
        <v>54</v>
      </c>
      <c r="D902" s="6" t="s">
        <v>62</v>
      </c>
      <c r="E902">
        <v>2</v>
      </c>
      <c r="F902"/>
      <c r="H902" s="4"/>
    </row>
    <row r="903" spans="2:8" x14ac:dyDescent="0.25">
      <c r="B903"/>
      <c r="C903" s="1" t="s">
        <v>51</v>
      </c>
      <c r="D903" s="6" t="s">
        <v>62</v>
      </c>
      <c r="E903">
        <v>2</v>
      </c>
      <c r="F903"/>
      <c r="H903" s="4"/>
    </row>
    <row r="904" spans="2:8" x14ac:dyDescent="0.25">
      <c r="B904"/>
      <c r="C904" s="1" t="s">
        <v>52</v>
      </c>
      <c r="D904" s="6" t="s">
        <v>67</v>
      </c>
      <c r="E904">
        <v>3</v>
      </c>
      <c r="F904"/>
      <c r="H904" s="4"/>
    </row>
    <row r="905" spans="2:8" x14ac:dyDescent="0.25">
      <c r="B905"/>
      <c r="C905" s="1" t="s">
        <v>7</v>
      </c>
      <c r="D905" s="6" t="s">
        <v>65</v>
      </c>
      <c r="E905">
        <v>2</v>
      </c>
      <c r="F905"/>
      <c r="H905" s="4"/>
    </row>
    <row r="906" spans="2:8" x14ac:dyDescent="0.25">
      <c r="B906"/>
      <c r="C906" s="1" t="s">
        <v>53</v>
      </c>
      <c r="D906" s="6" t="s">
        <v>65</v>
      </c>
      <c r="E906">
        <v>2</v>
      </c>
      <c r="F906"/>
      <c r="H906" s="4"/>
    </row>
    <row r="907" spans="2:8" x14ac:dyDescent="0.25">
      <c r="B907"/>
      <c r="C907" s="1" t="s">
        <v>54</v>
      </c>
      <c r="D907" s="6" t="s">
        <v>62</v>
      </c>
      <c r="E907">
        <v>2</v>
      </c>
      <c r="F907"/>
      <c r="H907" s="4"/>
    </row>
    <row r="908" spans="2:8" x14ac:dyDescent="0.25">
      <c r="B908"/>
      <c r="C908" s="1" t="s">
        <v>51</v>
      </c>
      <c r="D908" s="6" t="s">
        <v>62</v>
      </c>
      <c r="E908">
        <v>2</v>
      </c>
      <c r="F908"/>
      <c r="H908" s="4"/>
    </row>
    <row r="909" spans="2:8" x14ac:dyDescent="0.25">
      <c r="B909"/>
      <c r="C909" s="1" t="s">
        <v>52</v>
      </c>
      <c r="D909" s="6" t="s">
        <v>62</v>
      </c>
      <c r="E909">
        <v>2</v>
      </c>
      <c r="F909"/>
      <c r="H909" s="4"/>
    </row>
    <row r="910" spans="2:8" x14ac:dyDescent="0.25">
      <c r="B910"/>
      <c r="C910" s="1" t="s">
        <v>7</v>
      </c>
      <c r="D910" s="6" t="s">
        <v>62</v>
      </c>
      <c r="E910">
        <v>2</v>
      </c>
      <c r="F910"/>
      <c r="H910" s="4"/>
    </row>
    <row r="911" spans="2:8" x14ac:dyDescent="0.25">
      <c r="B911"/>
      <c r="C911" s="1" t="s">
        <v>53</v>
      </c>
      <c r="D911" s="6" t="s">
        <v>65</v>
      </c>
      <c r="E911">
        <v>2</v>
      </c>
      <c r="F911"/>
      <c r="H911" s="4"/>
    </row>
    <row r="912" spans="2:8" x14ac:dyDescent="0.25">
      <c r="B912"/>
      <c r="C912" s="1" t="s">
        <v>54</v>
      </c>
      <c r="D912" s="6" t="s">
        <v>65</v>
      </c>
      <c r="E912">
        <v>2</v>
      </c>
      <c r="F912"/>
      <c r="H912" s="4"/>
    </row>
    <row r="913" spans="2:8" x14ac:dyDescent="0.25">
      <c r="B913"/>
      <c r="C913" s="1" t="s">
        <v>51</v>
      </c>
      <c r="D913" s="6" t="s">
        <v>62</v>
      </c>
      <c r="E913">
        <v>2</v>
      </c>
      <c r="F913"/>
      <c r="H913" s="4"/>
    </row>
    <row r="914" spans="2:8" x14ac:dyDescent="0.25">
      <c r="B914"/>
      <c r="C914" s="1" t="s">
        <v>52</v>
      </c>
      <c r="D914" s="6" t="s">
        <v>62</v>
      </c>
      <c r="E914">
        <v>2</v>
      </c>
      <c r="F914"/>
      <c r="H914" s="4"/>
    </row>
    <row r="915" spans="2:8" x14ac:dyDescent="0.25">
      <c r="B915"/>
      <c r="C915" s="1" t="s">
        <v>7</v>
      </c>
      <c r="D915" s="6" t="s">
        <v>65</v>
      </c>
      <c r="E915">
        <v>2</v>
      </c>
      <c r="F915"/>
      <c r="H915" s="4"/>
    </row>
    <row r="916" spans="2:8" x14ac:dyDescent="0.25">
      <c r="B916"/>
      <c r="C916" s="1" t="s">
        <v>53</v>
      </c>
      <c r="D916" s="6" t="s">
        <v>66</v>
      </c>
      <c r="E916">
        <v>2.2999999999999998</v>
      </c>
      <c r="F916"/>
      <c r="H916" s="4"/>
    </row>
    <row r="917" spans="2:8" x14ac:dyDescent="0.25">
      <c r="B917"/>
      <c r="C917" s="1" t="s">
        <v>54</v>
      </c>
      <c r="D917" s="6" t="s">
        <v>62</v>
      </c>
      <c r="E917">
        <v>2</v>
      </c>
      <c r="F917"/>
      <c r="H917" s="4"/>
    </row>
    <row r="918" spans="2:8" x14ac:dyDescent="0.25">
      <c r="B918"/>
      <c r="C918" s="1" t="s">
        <v>51</v>
      </c>
      <c r="D918" s="6" t="s">
        <v>62</v>
      </c>
      <c r="E918">
        <v>2</v>
      </c>
      <c r="F918"/>
      <c r="H918" s="4"/>
    </row>
    <row r="919" spans="2:8" x14ac:dyDescent="0.25">
      <c r="B919"/>
      <c r="C919" s="1" t="s">
        <v>52</v>
      </c>
      <c r="D919" s="6" t="s">
        <v>64</v>
      </c>
      <c r="E919">
        <v>1.5</v>
      </c>
      <c r="F919"/>
      <c r="H919" s="4"/>
    </row>
    <row r="920" spans="2:8" x14ac:dyDescent="0.25">
      <c r="B920"/>
      <c r="C920" s="1" t="s">
        <v>7</v>
      </c>
      <c r="D920" s="6" t="s">
        <v>64</v>
      </c>
      <c r="E920">
        <v>1.5</v>
      </c>
      <c r="F920"/>
      <c r="H920" s="4"/>
    </row>
    <row r="921" spans="2:8" x14ac:dyDescent="0.25">
      <c r="B921"/>
      <c r="C921" s="1" t="s">
        <v>53</v>
      </c>
      <c r="D921" s="6" t="s">
        <v>71</v>
      </c>
      <c r="E921">
        <v>2.5</v>
      </c>
      <c r="F921"/>
      <c r="H921" s="4"/>
    </row>
    <row r="922" spans="2:8" x14ac:dyDescent="0.25">
      <c r="B922"/>
      <c r="C922" s="1" t="s">
        <v>54</v>
      </c>
      <c r="D922" s="6" t="s">
        <v>65</v>
      </c>
      <c r="E922">
        <v>2</v>
      </c>
      <c r="F922"/>
      <c r="H922" s="4"/>
    </row>
    <row r="923" spans="2:8" x14ac:dyDescent="0.25">
      <c r="B923"/>
      <c r="C923" s="1" t="s">
        <v>51</v>
      </c>
      <c r="D923" s="6" t="s">
        <v>67</v>
      </c>
      <c r="E923">
        <v>3</v>
      </c>
      <c r="F923"/>
      <c r="H923" s="4"/>
    </row>
    <row r="924" spans="2:8" x14ac:dyDescent="0.25">
      <c r="B924"/>
      <c r="C924" s="1" t="s">
        <v>52</v>
      </c>
      <c r="D924" s="6" t="s">
        <v>65</v>
      </c>
      <c r="E924">
        <v>2</v>
      </c>
      <c r="F924"/>
      <c r="H924" s="4"/>
    </row>
    <row r="925" spans="2:8" x14ac:dyDescent="0.25">
      <c r="B925"/>
      <c r="C925" s="1" t="s">
        <v>7</v>
      </c>
      <c r="D925" s="6" t="s">
        <v>64</v>
      </c>
      <c r="E925">
        <v>1.5</v>
      </c>
      <c r="F925"/>
      <c r="H925" s="4"/>
    </row>
    <row r="926" spans="2:8" x14ac:dyDescent="0.25">
      <c r="B926"/>
      <c r="C926" s="1" t="s">
        <v>53</v>
      </c>
      <c r="D926" s="6" t="s">
        <v>62</v>
      </c>
      <c r="E926">
        <v>2</v>
      </c>
      <c r="F926"/>
      <c r="H926" s="4"/>
    </row>
    <row r="927" spans="2:8" x14ac:dyDescent="0.25">
      <c r="B927"/>
      <c r="C927" s="1" t="s">
        <v>54</v>
      </c>
      <c r="D927" s="6" t="s">
        <v>62</v>
      </c>
      <c r="E927">
        <v>2</v>
      </c>
      <c r="F927"/>
      <c r="H927" s="4"/>
    </row>
    <row r="928" spans="2:8" x14ac:dyDescent="0.25">
      <c r="B928"/>
      <c r="C928" s="1" t="s">
        <v>51</v>
      </c>
      <c r="D928" s="6" t="s">
        <v>64</v>
      </c>
      <c r="E928">
        <v>1.5</v>
      </c>
      <c r="F928"/>
      <c r="H928" s="4"/>
    </row>
    <row r="929" spans="2:8" x14ac:dyDescent="0.25">
      <c r="B929"/>
      <c r="C929" s="1" t="s">
        <v>52</v>
      </c>
      <c r="D929" s="6" t="s">
        <v>65</v>
      </c>
      <c r="E929">
        <v>2</v>
      </c>
      <c r="F929"/>
      <c r="H929" s="4"/>
    </row>
    <row r="930" spans="2:8" x14ac:dyDescent="0.25">
      <c r="B930"/>
      <c r="C930" s="1" t="s">
        <v>7</v>
      </c>
      <c r="D930" s="6" t="s">
        <v>69</v>
      </c>
      <c r="E930">
        <v>1</v>
      </c>
      <c r="F930"/>
      <c r="H930" s="4"/>
    </row>
    <row r="931" spans="2:8" x14ac:dyDescent="0.25">
      <c r="B931"/>
      <c r="C931" s="1" t="s">
        <v>53</v>
      </c>
      <c r="D931" s="6" t="s">
        <v>62</v>
      </c>
      <c r="E931">
        <v>2</v>
      </c>
      <c r="F931"/>
      <c r="H931" s="4"/>
    </row>
    <row r="932" spans="2:8" x14ac:dyDescent="0.25">
      <c r="B932"/>
      <c r="C932" s="1" t="s">
        <v>54</v>
      </c>
      <c r="D932" s="6" t="s">
        <v>65</v>
      </c>
      <c r="E932">
        <v>2</v>
      </c>
      <c r="F932"/>
      <c r="H932" s="4"/>
    </row>
    <row r="933" spans="2:8" x14ac:dyDescent="0.25">
      <c r="B933"/>
      <c r="C933" s="1" t="s">
        <v>51</v>
      </c>
      <c r="D933" s="6" t="s">
        <v>69</v>
      </c>
      <c r="E933">
        <v>1</v>
      </c>
      <c r="F933"/>
      <c r="H933" s="4"/>
    </row>
    <row r="934" spans="2:8" x14ac:dyDescent="0.25">
      <c r="B934"/>
      <c r="C934" s="1" t="s">
        <v>52</v>
      </c>
      <c r="D934" s="6" t="s">
        <v>65</v>
      </c>
      <c r="E934">
        <v>2</v>
      </c>
      <c r="F934"/>
      <c r="H934" s="4"/>
    </row>
    <row r="935" spans="2:8" x14ac:dyDescent="0.25">
      <c r="B935"/>
      <c r="C935" s="1" t="s">
        <v>7</v>
      </c>
      <c r="D935" s="6" t="s">
        <v>72</v>
      </c>
      <c r="E935">
        <v>0.5</v>
      </c>
      <c r="F935"/>
      <c r="H935" s="4"/>
    </row>
    <row r="936" spans="2:8" x14ac:dyDescent="0.25">
      <c r="B936"/>
      <c r="C936" s="1" t="s">
        <v>53</v>
      </c>
      <c r="D936" s="6" t="s">
        <v>62</v>
      </c>
      <c r="E936">
        <v>2</v>
      </c>
      <c r="F936"/>
      <c r="H936" s="4"/>
    </row>
    <row r="937" spans="2:8" x14ac:dyDescent="0.25">
      <c r="B937"/>
      <c r="C937" s="1" t="s">
        <v>54</v>
      </c>
      <c r="D937" s="6" t="s">
        <v>69</v>
      </c>
      <c r="E937">
        <v>1</v>
      </c>
      <c r="F937"/>
      <c r="H937" s="4"/>
    </row>
    <row r="938" spans="2:8" x14ac:dyDescent="0.25">
      <c r="B938"/>
      <c r="C938" s="1" t="s">
        <v>51</v>
      </c>
      <c r="D938" s="6" t="s">
        <v>64</v>
      </c>
      <c r="E938">
        <v>1.5</v>
      </c>
      <c r="F938"/>
      <c r="H938" s="4"/>
    </row>
    <row r="939" spans="2:8" x14ac:dyDescent="0.25">
      <c r="B939"/>
      <c r="C939" s="1" t="s">
        <v>52</v>
      </c>
      <c r="D939" s="6" t="s">
        <v>66</v>
      </c>
      <c r="E939">
        <v>2.2999999999999998</v>
      </c>
      <c r="F939"/>
      <c r="H939" s="4"/>
    </row>
    <row r="940" spans="2:8" x14ac:dyDescent="0.25">
      <c r="B940"/>
      <c r="C940" s="1" t="s">
        <v>7</v>
      </c>
      <c r="D940" s="6" t="s">
        <v>64</v>
      </c>
      <c r="E940">
        <v>1.5</v>
      </c>
      <c r="F940"/>
      <c r="H940" s="4"/>
    </row>
    <row r="941" spans="2:8" x14ac:dyDescent="0.25">
      <c r="B941"/>
      <c r="C941" s="1" t="s">
        <v>53</v>
      </c>
      <c r="D941" s="6" t="s">
        <v>64</v>
      </c>
      <c r="E941">
        <v>1.5</v>
      </c>
      <c r="F941"/>
      <c r="H941" s="4"/>
    </row>
    <row r="942" spans="2:8" x14ac:dyDescent="0.25">
      <c r="B942"/>
      <c r="C942" s="1" t="s">
        <v>54</v>
      </c>
      <c r="D942" s="6" t="s">
        <v>63</v>
      </c>
      <c r="E942">
        <v>1</v>
      </c>
      <c r="F942"/>
      <c r="H942" s="4"/>
    </row>
    <row r="943" spans="2:8" x14ac:dyDescent="0.25">
      <c r="B943"/>
      <c r="C943" s="1" t="s">
        <v>51</v>
      </c>
      <c r="D943" s="6" t="s">
        <v>62</v>
      </c>
      <c r="E943">
        <v>2</v>
      </c>
      <c r="F943"/>
      <c r="H943" s="4"/>
    </row>
    <row r="944" spans="2:8" x14ac:dyDescent="0.25">
      <c r="B944"/>
      <c r="C944" s="1" t="s">
        <v>52</v>
      </c>
      <c r="D944" s="6" t="s">
        <v>74</v>
      </c>
      <c r="E944">
        <v>4</v>
      </c>
      <c r="F944"/>
      <c r="H944" s="4"/>
    </row>
    <row r="945" spans="2:8" x14ac:dyDescent="0.25">
      <c r="B945"/>
      <c r="C945" s="1" t="s">
        <v>7</v>
      </c>
      <c r="D945" s="6" t="s">
        <v>62</v>
      </c>
      <c r="E945">
        <v>2</v>
      </c>
      <c r="F945"/>
      <c r="H945" s="4"/>
    </row>
    <row r="946" spans="2:8" x14ac:dyDescent="0.25">
      <c r="B946"/>
      <c r="C946" s="1" t="s">
        <v>53</v>
      </c>
      <c r="D946" s="6" t="s">
        <v>62</v>
      </c>
      <c r="E946">
        <v>2</v>
      </c>
      <c r="F946"/>
      <c r="H946" s="4"/>
    </row>
    <row r="947" spans="2:8" x14ac:dyDescent="0.25">
      <c r="B947"/>
      <c r="C947" s="1" t="s">
        <v>54</v>
      </c>
      <c r="D947" s="6" t="s">
        <v>64</v>
      </c>
      <c r="E947">
        <v>1.5</v>
      </c>
      <c r="F947"/>
      <c r="H947" s="4"/>
    </row>
    <row r="948" spans="2:8" x14ac:dyDescent="0.25">
      <c r="B948"/>
      <c r="C948" s="1" t="s">
        <v>51</v>
      </c>
      <c r="D948" s="6" t="s">
        <v>65</v>
      </c>
      <c r="E948">
        <v>2</v>
      </c>
      <c r="F948"/>
      <c r="H948" s="4"/>
    </row>
    <row r="949" spans="2:8" x14ac:dyDescent="0.25">
      <c r="B949"/>
      <c r="C949" s="1" t="s">
        <v>52</v>
      </c>
      <c r="D949" s="6" t="s">
        <v>63</v>
      </c>
      <c r="E949">
        <v>1</v>
      </c>
      <c r="F949"/>
      <c r="H949" s="4"/>
    </row>
    <row r="950" spans="2:8" x14ac:dyDescent="0.25">
      <c r="B950"/>
      <c r="C950" s="1" t="s">
        <v>7</v>
      </c>
      <c r="D950" s="6" t="s">
        <v>62</v>
      </c>
      <c r="E950">
        <v>2</v>
      </c>
      <c r="F950"/>
      <c r="H950" s="4"/>
    </row>
    <row r="951" spans="2:8" x14ac:dyDescent="0.25">
      <c r="B951"/>
      <c r="C951" s="1" t="s">
        <v>53</v>
      </c>
      <c r="D951" s="6" t="s">
        <v>62</v>
      </c>
      <c r="E951">
        <v>2</v>
      </c>
      <c r="F951"/>
      <c r="H951" s="4"/>
    </row>
    <row r="952" spans="2:8" x14ac:dyDescent="0.25">
      <c r="B952"/>
      <c r="C952" s="1" t="s">
        <v>54</v>
      </c>
      <c r="D952" s="6" t="s">
        <v>62</v>
      </c>
      <c r="E952">
        <v>2</v>
      </c>
      <c r="F952"/>
      <c r="H952" s="4"/>
    </row>
    <row r="953" spans="2:8" x14ac:dyDescent="0.25">
      <c r="B953"/>
      <c r="C953" s="1" t="s">
        <v>51</v>
      </c>
      <c r="D953" s="6" t="s">
        <v>63</v>
      </c>
      <c r="E953">
        <v>1</v>
      </c>
      <c r="F953"/>
      <c r="H953" s="4"/>
    </row>
    <row r="954" spans="2:8" x14ac:dyDescent="0.25">
      <c r="B954"/>
      <c r="C954" s="1" t="s">
        <v>52</v>
      </c>
      <c r="D954" s="6" t="s">
        <v>67</v>
      </c>
      <c r="E954">
        <v>3</v>
      </c>
      <c r="F954"/>
      <c r="H954" s="4"/>
    </row>
    <row r="955" spans="2:8" x14ac:dyDescent="0.25">
      <c r="B955"/>
      <c r="C955" s="1" t="s">
        <v>7</v>
      </c>
      <c r="D955" s="6" t="s">
        <v>62</v>
      </c>
      <c r="E955">
        <v>2</v>
      </c>
      <c r="F955"/>
      <c r="H955" s="4"/>
    </row>
    <row r="956" spans="2:8" x14ac:dyDescent="0.25">
      <c r="B956"/>
      <c r="C956" s="1" t="s">
        <v>53</v>
      </c>
      <c r="D956" s="6" t="s">
        <v>63</v>
      </c>
      <c r="E956">
        <v>1</v>
      </c>
      <c r="F956"/>
      <c r="H956" s="4"/>
    </row>
    <row r="957" spans="2:8" x14ac:dyDescent="0.25">
      <c r="B957"/>
      <c r="C957" s="1" t="s">
        <v>54</v>
      </c>
      <c r="D957" s="6" t="s">
        <v>68</v>
      </c>
      <c r="E957">
        <v>1.25</v>
      </c>
      <c r="F957"/>
      <c r="H957" s="4"/>
    </row>
    <row r="958" spans="2:8" x14ac:dyDescent="0.25">
      <c r="B958"/>
      <c r="C958" s="1" t="s">
        <v>51</v>
      </c>
      <c r="D958" s="6" t="s">
        <v>63</v>
      </c>
      <c r="E958">
        <v>1</v>
      </c>
      <c r="F958"/>
      <c r="H958" s="4"/>
    </row>
    <row r="959" spans="2:8" x14ac:dyDescent="0.25">
      <c r="B959"/>
      <c r="C959" s="1" t="s">
        <v>52</v>
      </c>
      <c r="D959" s="6" t="s">
        <v>93</v>
      </c>
      <c r="E959">
        <v>0.05</v>
      </c>
      <c r="F959"/>
      <c r="H959" s="4"/>
    </row>
    <row r="960" spans="2:8" x14ac:dyDescent="0.25">
      <c r="B960"/>
      <c r="C960" s="1" t="s">
        <v>7</v>
      </c>
      <c r="D960" s="6" t="s">
        <v>70</v>
      </c>
      <c r="E960">
        <v>15</v>
      </c>
      <c r="F960"/>
      <c r="H960" s="4"/>
    </row>
    <row r="961" spans="2:8" x14ac:dyDescent="0.25">
      <c r="B961"/>
      <c r="C961" s="1" t="s">
        <v>53</v>
      </c>
      <c r="D961" s="6" t="s">
        <v>74</v>
      </c>
      <c r="E961">
        <v>4</v>
      </c>
      <c r="F961"/>
      <c r="H961" s="4"/>
    </row>
    <row r="962" spans="2:8" x14ac:dyDescent="0.25">
      <c r="B962"/>
      <c r="C962" s="1" t="s">
        <v>54</v>
      </c>
      <c r="D962" s="6" t="s">
        <v>70</v>
      </c>
      <c r="E962">
        <v>15</v>
      </c>
      <c r="F962"/>
      <c r="H962" s="4"/>
    </row>
    <row r="963" spans="2:8" x14ac:dyDescent="0.25">
      <c r="B963"/>
      <c r="C963" s="1" t="s">
        <v>51</v>
      </c>
      <c r="D963" s="6" t="s">
        <v>64</v>
      </c>
      <c r="E963">
        <v>1.5</v>
      </c>
      <c r="F963"/>
      <c r="H963" s="4"/>
    </row>
    <row r="964" spans="2:8" x14ac:dyDescent="0.25">
      <c r="B964"/>
      <c r="C964" s="1" t="s">
        <v>52</v>
      </c>
      <c r="D964" s="6" t="s">
        <v>64</v>
      </c>
      <c r="E964">
        <v>1.5</v>
      </c>
      <c r="F964"/>
      <c r="H964" s="4"/>
    </row>
    <row r="965" spans="2:8" x14ac:dyDescent="0.25">
      <c r="B965"/>
      <c r="C965" s="1" t="s">
        <v>7</v>
      </c>
      <c r="D965" s="6" t="s">
        <v>66</v>
      </c>
      <c r="E965">
        <v>2.2999999999999998</v>
      </c>
      <c r="F965"/>
      <c r="H965" s="4"/>
    </row>
    <row r="966" spans="2:8" x14ac:dyDescent="0.25">
      <c r="B966"/>
      <c r="C966" s="1" t="s">
        <v>53</v>
      </c>
      <c r="D966" s="6" t="s">
        <v>62</v>
      </c>
      <c r="E966">
        <v>2</v>
      </c>
      <c r="F966"/>
      <c r="H966" s="4"/>
    </row>
    <row r="967" spans="2:8" x14ac:dyDescent="0.25">
      <c r="B967"/>
      <c r="C967" s="1" t="s">
        <v>54</v>
      </c>
      <c r="D967" s="6" t="s">
        <v>69</v>
      </c>
      <c r="E967">
        <v>1</v>
      </c>
      <c r="F967"/>
      <c r="H967" s="4"/>
    </row>
    <row r="968" spans="2:8" x14ac:dyDescent="0.25">
      <c r="B968"/>
      <c r="C968" s="1" t="s">
        <v>51</v>
      </c>
      <c r="D968" s="6" t="s">
        <v>70</v>
      </c>
      <c r="E968">
        <v>15</v>
      </c>
      <c r="F968"/>
      <c r="H968" s="4"/>
    </row>
    <row r="969" spans="2:8" x14ac:dyDescent="0.25">
      <c r="B969"/>
      <c r="C969" s="1" t="s">
        <v>52</v>
      </c>
      <c r="D969" s="6" t="s">
        <v>62</v>
      </c>
      <c r="E969">
        <v>2</v>
      </c>
      <c r="F969"/>
      <c r="H969" s="4"/>
    </row>
    <row r="970" spans="2:8" x14ac:dyDescent="0.25">
      <c r="B970"/>
      <c r="C970" s="1" t="s">
        <v>7</v>
      </c>
      <c r="D970" s="6" t="s">
        <v>71</v>
      </c>
      <c r="E970">
        <v>2.5</v>
      </c>
      <c r="F970"/>
      <c r="H970" s="4"/>
    </row>
    <row r="971" spans="2:8" x14ac:dyDescent="0.25">
      <c r="B971"/>
      <c r="C971" s="1" t="s">
        <v>53</v>
      </c>
      <c r="D971" s="6" t="s">
        <v>62</v>
      </c>
      <c r="E971">
        <v>2</v>
      </c>
      <c r="F971"/>
      <c r="H971" s="4"/>
    </row>
    <row r="972" spans="2:8" x14ac:dyDescent="0.25">
      <c r="B972"/>
      <c r="C972" s="1" t="s">
        <v>54</v>
      </c>
      <c r="D972" s="6" t="s">
        <v>63</v>
      </c>
      <c r="E972">
        <v>1</v>
      </c>
      <c r="F972"/>
      <c r="H972" s="4"/>
    </row>
    <row r="973" spans="2:8" x14ac:dyDescent="0.25">
      <c r="B973"/>
      <c r="C973" s="1" t="s">
        <v>51</v>
      </c>
      <c r="D973" s="6" t="s">
        <v>64</v>
      </c>
      <c r="E973">
        <v>1.5</v>
      </c>
      <c r="F973"/>
      <c r="H973" s="4"/>
    </row>
    <row r="974" spans="2:8" x14ac:dyDescent="0.25">
      <c r="B974"/>
      <c r="C974" s="1" t="s">
        <v>52</v>
      </c>
      <c r="D974" s="6" t="s">
        <v>63</v>
      </c>
      <c r="E974">
        <v>1</v>
      </c>
      <c r="F974"/>
      <c r="H974" s="4"/>
    </row>
    <row r="975" spans="2:8" x14ac:dyDescent="0.25">
      <c r="B975"/>
      <c r="C975" s="1" t="s">
        <v>7</v>
      </c>
      <c r="D975" s="6" t="s">
        <v>70</v>
      </c>
      <c r="E975">
        <v>15</v>
      </c>
      <c r="F975"/>
      <c r="H975" s="4"/>
    </row>
    <row r="976" spans="2:8" x14ac:dyDescent="0.25">
      <c r="B976"/>
      <c r="C976" s="1" t="s">
        <v>53</v>
      </c>
      <c r="D976" s="6" t="s">
        <v>82</v>
      </c>
      <c r="E976">
        <v>20</v>
      </c>
      <c r="F976"/>
      <c r="H976" s="4"/>
    </row>
    <row r="977" spans="2:8" x14ac:dyDescent="0.25">
      <c r="B977"/>
      <c r="C977" s="1" t="s">
        <v>54</v>
      </c>
      <c r="D977" s="6" t="s">
        <v>64</v>
      </c>
      <c r="E977">
        <v>1.5</v>
      </c>
      <c r="F977"/>
      <c r="H977" s="4"/>
    </row>
    <row r="978" spans="2:8" x14ac:dyDescent="0.25">
      <c r="B978"/>
      <c r="C978" s="1" t="s">
        <v>51</v>
      </c>
      <c r="D978" s="6" t="s">
        <v>62</v>
      </c>
      <c r="E978">
        <v>2</v>
      </c>
      <c r="F978"/>
      <c r="H978" s="4"/>
    </row>
    <row r="979" spans="2:8" x14ac:dyDescent="0.25">
      <c r="B979"/>
      <c r="C979" s="1" t="s">
        <v>52</v>
      </c>
      <c r="D979" s="6" t="s">
        <v>62</v>
      </c>
      <c r="E979">
        <v>2</v>
      </c>
      <c r="F979"/>
      <c r="H979" s="4"/>
    </row>
    <row r="980" spans="2:8" x14ac:dyDescent="0.25">
      <c r="B980"/>
      <c r="C980" s="1" t="s">
        <v>7</v>
      </c>
      <c r="D980" s="6" t="s">
        <v>66</v>
      </c>
      <c r="E980">
        <v>2.2999999999999998</v>
      </c>
      <c r="F980"/>
      <c r="H980" s="4"/>
    </row>
    <row r="981" spans="2:8" x14ac:dyDescent="0.25">
      <c r="B981"/>
      <c r="C981" s="1" t="s">
        <v>53</v>
      </c>
      <c r="D981" s="6" t="s">
        <v>73</v>
      </c>
      <c r="E981">
        <v>0.5</v>
      </c>
      <c r="F981"/>
      <c r="H981" s="4"/>
    </row>
    <row r="982" spans="2:8" x14ac:dyDescent="0.25">
      <c r="B982"/>
      <c r="C982" s="1" t="s">
        <v>54</v>
      </c>
      <c r="D982" s="6" t="s">
        <v>62</v>
      </c>
      <c r="E982">
        <v>2</v>
      </c>
      <c r="F982"/>
      <c r="H982" s="4"/>
    </row>
    <row r="983" spans="2:8" x14ac:dyDescent="0.25">
      <c r="B983"/>
      <c r="C983" s="1" t="s">
        <v>51</v>
      </c>
      <c r="D983" s="6" t="s">
        <v>65</v>
      </c>
      <c r="E983">
        <v>2</v>
      </c>
      <c r="F983"/>
      <c r="H983" s="4"/>
    </row>
    <row r="984" spans="2:8" x14ac:dyDescent="0.25">
      <c r="B984"/>
      <c r="C984" s="1" t="s">
        <v>52</v>
      </c>
      <c r="D984" s="6" t="s">
        <v>64</v>
      </c>
      <c r="E984">
        <v>1.5</v>
      </c>
      <c r="F984"/>
      <c r="H984" s="4"/>
    </row>
    <row r="985" spans="2:8" x14ac:dyDescent="0.25">
      <c r="B985"/>
      <c r="C985" s="1" t="s">
        <v>7</v>
      </c>
      <c r="D985" s="6" t="s">
        <v>65</v>
      </c>
      <c r="E985">
        <v>2</v>
      </c>
      <c r="F985"/>
      <c r="H985" s="4"/>
    </row>
    <row r="986" spans="2:8" x14ac:dyDescent="0.25">
      <c r="B986"/>
      <c r="C986" s="1" t="s">
        <v>53</v>
      </c>
      <c r="D986" s="6" t="s">
        <v>64</v>
      </c>
      <c r="E986">
        <v>1.5</v>
      </c>
      <c r="F986"/>
      <c r="H986" s="4"/>
    </row>
    <row r="987" spans="2:8" x14ac:dyDescent="0.25">
      <c r="B987"/>
      <c r="C987" s="1" t="s">
        <v>54</v>
      </c>
      <c r="D987" s="6" t="s">
        <v>69</v>
      </c>
      <c r="E987">
        <v>1</v>
      </c>
      <c r="F987"/>
      <c r="H987" s="4"/>
    </row>
    <row r="988" spans="2:8" x14ac:dyDescent="0.25">
      <c r="B988"/>
      <c r="C988" s="1" t="s">
        <v>51</v>
      </c>
      <c r="D988" s="6" t="s">
        <v>69</v>
      </c>
      <c r="E988">
        <v>1</v>
      </c>
      <c r="F988"/>
      <c r="H988" s="4"/>
    </row>
    <row r="989" spans="2:8" x14ac:dyDescent="0.25">
      <c r="B989"/>
      <c r="C989" s="1" t="s">
        <v>52</v>
      </c>
      <c r="D989" s="6" t="s">
        <v>62</v>
      </c>
      <c r="E989">
        <v>2</v>
      </c>
      <c r="F989"/>
      <c r="H989" s="4"/>
    </row>
    <row r="990" spans="2:8" x14ac:dyDescent="0.25">
      <c r="B990"/>
      <c r="C990" s="1" t="s">
        <v>7</v>
      </c>
      <c r="D990" s="6" t="s">
        <v>62</v>
      </c>
      <c r="E990">
        <v>2</v>
      </c>
      <c r="F990"/>
      <c r="H990" s="4"/>
    </row>
    <row r="991" spans="2:8" x14ac:dyDescent="0.25">
      <c r="B991"/>
      <c r="C991" s="1" t="s">
        <v>53</v>
      </c>
      <c r="D991" s="6" t="s">
        <v>65</v>
      </c>
      <c r="E991">
        <v>2</v>
      </c>
      <c r="F991"/>
      <c r="H991" s="4"/>
    </row>
    <row r="992" spans="2:8" x14ac:dyDescent="0.25">
      <c r="B992"/>
      <c r="C992" s="1" t="s">
        <v>54</v>
      </c>
      <c r="D992" s="6" t="s">
        <v>66</v>
      </c>
      <c r="E992">
        <v>2.2999999999999998</v>
      </c>
      <c r="F992"/>
      <c r="H992" s="4"/>
    </row>
    <row r="993" spans="2:8" x14ac:dyDescent="0.25">
      <c r="B993"/>
      <c r="C993" s="1" t="s">
        <v>51</v>
      </c>
      <c r="D993" s="6" t="s">
        <v>64</v>
      </c>
      <c r="E993">
        <v>1.5</v>
      </c>
      <c r="F993"/>
      <c r="H993" s="4"/>
    </row>
    <row r="994" spans="2:8" x14ac:dyDescent="0.25">
      <c r="B994"/>
      <c r="C994" s="1" t="s">
        <v>52</v>
      </c>
      <c r="D994" s="6" t="s">
        <v>69</v>
      </c>
      <c r="E994">
        <v>1</v>
      </c>
      <c r="F994"/>
      <c r="H994" s="4"/>
    </row>
    <row r="995" spans="2:8" x14ac:dyDescent="0.25">
      <c r="B995"/>
      <c r="C995" s="1" t="s">
        <v>7</v>
      </c>
      <c r="D995" s="6" t="s">
        <v>63</v>
      </c>
      <c r="E995">
        <v>1</v>
      </c>
      <c r="F995"/>
      <c r="H995" s="4"/>
    </row>
    <row r="996" spans="2:8" x14ac:dyDescent="0.25">
      <c r="B996"/>
      <c r="C996" s="1" t="s">
        <v>53</v>
      </c>
      <c r="D996" s="6" t="s">
        <v>65</v>
      </c>
      <c r="E996">
        <v>2</v>
      </c>
      <c r="F996"/>
      <c r="H996" s="4"/>
    </row>
    <row r="997" spans="2:8" x14ac:dyDescent="0.25">
      <c r="B997"/>
      <c r="C997" s="1" t="s">
        <v>54</v>
      </c>
      <c r="D997" s="6" t="s">
        <v>64</v>
      </c>
      <c r="E997">
        <v>1.5</v>
      </c>
      <c r="F997"/>
      <c r="H997" s="4"/>
    </row>
    <row r="998" spans="2:8" x14ac:dyDescent="0.25">
      <c r="B998"/>
      <c r="C998" s="1" t="s">
        <v>51</v>
      </c>
      <c r="D998" s="6" t="s">
        <v>69</v>
      </c>
      <c r="E998">
        <v>1</v>
      </c>
      <c r="F998"/>
      <c r="H998" s="4"/>
    </row>
    <row r="999" spans="2:8" x14ac:dyDescent="0.25">
      <c r="B999"/>
      <c r="C999" s="1" t="s">
        <v>52</v>
      </c>
      <c r="D999" s="6" t="s">
        <v>72</v>
      </c>
      <c r="E999">
        <v>0.5</v>
      </c>
      <c r="F999"/>
      <c r="H999" s="4"/>
    </row>
    <row r="1000" spans="2:8" x14ac:dyDescent="0.25">
      <c r="B1000"/>
      <c r="C1000" s="1" t="s">
        <v>7</v>
      </c>
      <c r="D1000" s="6" t="s">
        <v>66</v>
      </c>
      <c r="E1000">
        <v>2.2999999999999998</v>
      </c>
      <c r="F1000"/>
      <c r="H1000" s="4"/>
    </row>
    <row r="1001" spans="2:8" x14ac:dyDescent="0.25">
      <c r="B1001"/>
      <c r="C1001" s="1" t="s">
        <v>53</v>
      </c>
      <c r="D1001" s="6" t="s">
        <v>66</v>
      </c>
      <c r="E1001">
        <v>2.2999999999999998</v>
      </c>
      <c r="F1001"/>
      <c r="H1001" s="4"/>
    </row>
    <row r="1002" spans="2:8" x14ac:dyDescent="0.25">
      <c r="B1002"/>
      <c r="C1002" s="1" t="s">
        <v>54</v>
      </c>
      <c r="D1002" s="6" t="s">
        <v>69</v>
      </c>
      <c r="E1002">
        <v>1</v>
      </c>
      <c r="F1002"/>
      <c r="H1002" s="4"/>
    </row>
    <row r="1003" spans="2:8" x14ac:dyDescent="0.25">
      <c r="B1003"/>
      <c r="C1003" s="1" t="s">
        <v>51</v>
      </c>
      <c r="D1003" s="6" t="s">
        <v>62</v>
      </c>
      <c r="E1003">
        <v>2</v>
      </c>
      <c r="F1003"/>
      <c r="H1003" s="4"/>
    </row>
    <row r="1004" spans="2:8" x14ac:dyDescent="0.25">
      <c r="B1004"/>
      <c r="C1004" s="1" t="s">
        <v>52</v>
      </c>
      <c r="D1004" s="6" t="s">
        <v>64</v>
      </c>
      <c r="E1004">
        <v>1.5</v>
      </c>
      <c r="F1004"/>
      <c r="H1004" s="4"/>
    </row>
    <row r="1005" spans="2:8" x14ac:dyDescent="0.25">
      <c r="B1005"/>
      <c r="C1005" s="1" t="s">
        <v>7</v>
      </c>
      <c r="D1005" s="6" t="s">
        <v>65</v>
      </c>
      <c r="E1005">
        <v>2</v>
      </c>
      <c r="F1005"/>
      <c r="H1005" s="4"/>
    </row>
    <row r="1006" spans="2:8" x14ac:dyDescent="0.25">
      <c r="B1006"/>
      <c r="C1006" s="1" t="s">
        <v>53</v>
      </c>
      <c r="D1006" s="6" t="s">
        <v>66</v>
      </c>
      <c r="E1006">
        <v>2.2999999999999998</v>
      </c>
      <c r="F1006"/>
      <c r="H1006" s="4"/>
    </row>
    <row r="1007" spans="2:8" x14ac:dyDescent="0.25">
      <c r="B1007"/>
      <c r="C1007" s="1" t="s">
        <v>54</v>
      </c>
      <c r="D1007" s="6" t="s">
        <v>70</v>
      </c>
      <c r="E1007">
        <v>15</v>
      </c>
      <c r="F1007"/>
      <c r="H1007" s="4"/>
    </row>
    <row r="1008" spans="2:8" x14ac:dyDescent="0.25">
      <c r="B1008"/>
      <c r="C1008" s="1" t="s">
        <v>51</v>
      </c>
      <c r="D1008" s="6" t="s">
        <v>62</v>
      </c>
      <c r="E1008">
        <v>2</v>
      </c>
      <c r="F1008"/>
      <c r="H1008" s="4"/>
    </row>
    <row r="1009" spans="2:8" x14ac:dyDescent="0.25">
      <c r="B1009"/>
      <c r="C1009" s="1" t="s">
        <v>52</v>
      </c>
      <c r="D1009" s="6" t="s">
        <v>62</v>
      </c>
      <c r="E1009">
        <v>2</v>
      </c>
      <c r="F1009"/>
      <c r="H1009" s="4"/>
    </row>
    <row r="1010" spans="2:8" x14ac:dyDescent="0.25">
      <c r="B1010"/>
      <c r="C1010" s="1" t="s">
        <v>7</v>
      </c>
      <c r="D1010" s="6" t="s">
        <v>64</v>
      </c>
      <c r="E1010">
        <v>1.5</v>
      </c>
      <c r="F1010"/>
      <c r="H1010" s="4"/>
    </row>
    <row r="1011" spans="2:8" x14ac:dyDescent="0.25">
      <c r="B1011"/>
      <c r="C1011" s="1" t="s">
        <v>53</v>
      </c>
      <c r="D1011" s="6" t="s">
        <v>69</v>
      </c>
      <c r="E1011">
        <v>1</v>
      </c>
      <c r="F1011"/>
      <c r="H1011" s="4"/>
    </row>
    <row r="1012" spans="2:8" x14ac:dyDescent="0.25">
      <c r="B1012"/>
      <c r="C1012" s="1" t="s">
        <v>54</v>
      </c>
      <c r="D1012" s="6" t="s">
        <v>69</v>
      </c>
      <c r="E1012">
        <v>1</v>
      </c>
      <c r="F1012"/>
      <c r="H1012" s="4"/>
    </row>
    <row r="1013" spans="2:8" x14ac:dyDescent="0.25">
      <c r="B1013"/>
      <c r="C1013" s="1" t="s">
        <v>51</v>
      </c>
      <c r="D1013" s="6" t="s">
        <v>69</v>
      </c>
      <c r="E1013">
        <v>1</v>
      </c>
      <c r="F1013"/>
      <c r="H1013" s="4"/>
    </row>
    <row r="1014" spans="2:8" x14ac:dyDescent="0.25">
      <c r="B1014"/>
      <c r="C1014" s="1" t="s">
        <v>52</v>
      </c>
      <c r="D1014" s="6" t="s">
        <v>62</v>
      </c>
      <c r="E1014">
        <v>2</v>
      </c>
      <c r="F1014"/>
      <c r="H1014" s="4"/>
    </row>
    <row r="1015" spans="2:8" x14ac:dyDescent="0.25">
      <c r="B1015"/>
      <c r="C1015" s="1" t="s">
        <v>7</v>
      </c>
      <c r="D1015" s="6" t="s">
        <v>64</v>
      </c>
      <c r="E1015">
        <v>1.5</v>
      </c>
      <c r="F1015"/>
      <c r="H1015" s="4"/>
    </row>
    <row r="1016" spans="2:8" x14ac:dyDescent="0.25">
      <c r="B1016"/>
      <c r="C1016" s="1" t="s">
        <v>53</v>
      </c>
      <c r="D1016" s="6" t="s">
        <v>62</v>
      </c>
      <c r="E1016">
        <v>2</v>
      </c>
      <c r="F1016"/>
      <c r="H1016" s="4"/>
    </row>
    <row r="1017" spans="2:8" x14ac:dyDescent="0.25">
      <c r="B1017"/>
      <c r="C1017" s="1" t="s">
        <v>54</v>
      </c>
      <c r="D1017" s="6" t="s">
        <v>64</v>
      </c>
      <c r="E1017">
        <v>1.5</v>
      </c>
      <c r="F1017"/>
      <c r="H1017" s="4"/>
    </row>
    <row r="1018" spans="2:8" x14ac:dyDescent="0.25">
      <c r="B1018"/>
      <c r="C1018" s="1" t="s">
        <v>51</v>
      </c>
      <c r="D1018" s="6" t="s">
        <v>66</v>
      </c>
      <c r="E1018">
        <v>2.2999999999999998</v>
      </c>
      <c r="F1018"/>
      <c r="H1018" s="4"/>
    </row>
    <row r="1019" spans="2:8" x14ac:dyDescent="0.25">
      <c r="B1019"/>
      <c r="C1019" s="1" t="s">
        <v>52</v>
      </c>
      <c r="D1019" s="6" t="s">
        <v>69</v>
      </c>
      <c r="E1019">
        <v>1</v>
      </c>
      <c r="F1019"/>
      <c r="H1019" s="4"/>
    </row>
    <row r="1020" spans="2:8" x14ac:dyDescent="0.25">
      <c r="B1020"/>
      <c r="C1020" s="1" t="s">
        <v>7</v>
      </c>
      <c r="D1020" s="6" t="s">
        <v>62</v>
      </c>
      <c r="E1020">
        <v>2</v>
      </c>
      <c r="F1020"/>
      <c r="H1020" s="4"/>
    </row>
    <row r="1021" spans="2:8" x14ac:dyDescent="0.25">
      <c r="B1021"/>
      <c r="C1021" s="1" t="s">
        <v>53</v>
      </c>
      <c r="D1021" s="6" t="s">
        <v>62</v>
      </c>
      <c r="E1021">
        <v>2</v>
      </c>
      <c r="F1021"/>
      <c r="H1021" s="4"/>
    </row>
    <row r="1022" spans="2:8" x14ac:dyDescent="0.25">
      <c r="B1022"/>
      <c r="C1022" s="1" t="s">
        <v>54</v>
      </c>
      <c r="D1022" s="6" t="s">
        <v>62</v>
      </c>
      <c r="E1022">
        <v>2</v>
      </c>
      <c r="F1022"/>
      <c r="H1022" s="4"/>
    </row>
    <row r="1023" spans="2:8" x14ac:dyDescent="0.25">
      <c r="B1023"/>
      <c r="C1023" s="1" t="s">
        <v>51</v>
      </c>
      <c r="D1023" s="6" t="s">
        <v>64</v>
      </c>
      <c r="E1023">
        <v>1.5</v>
      </c>
      <c r="F1023"/>
      <c r="H1023" s="4"/>
    </row>
    <row r="1024" spans="2:8" x14ac:dyDescent="0.25">
      <c r="B1024"/>
      <c r="C1024" s="1" t="s">
        <v>52</v>
      </c>
      <c r="D1024" s="6" t="s">
        <v>66</v>
      </c>
      <c r="E1024">
        <v>2.2999999999999998</v>
      </c>
      <c r="F1024"/>
      <c r="H1024" s="4"/>
    </row>
    <row r="1025" spans="2:8" x14ac:dyDescent="0.25">
      <c r="B1025"/>
      <c r="C1025" s="1" t="s">
        <v>7</v>
      </c>
      <c r="D1025" s="6" t="s">
        <v>62</v>
      </c>
      <c r="E1025">
        <v>2</v>
      </c>
      <c r="F1025"/>
      <c r="H1025" s="4"/>
    </row>
    <row r="1026" spans="2:8" x14ac:dyDescent="0.25">
      <c r="B1026"/>
      <c r="C1026" s="1" t="s">
        <v>53</v>
      </c>
      <c r="D1026" s="6" t="s">
        <v>64</v>
      </c>
      <c r="E1026">
        <v>1.5</v>
      </c>
      <c r="F1026"/>
      <c r="H1026" s="4"/>
    </row>
    <row r="1027" spans="2:8" x14ac:dyDescent="0.25">
      <c r="B1027"/>
      <c r="C1027" s="1" t="s">
        <v>54</v>
      </c>
      <c r="D1027" s="6" t="s">
        <v>64</v>
      </c>
      <c r="E1027">
        <v>1.5</v>
      </c>
      <c r="F1027"/>
      <c r="H1027" s="4"/>
    </row>
    <row r="1028" spans="2:8" x14ac:dyDescent="0.25">
      <c r="B1028"/>
      <c r="C1028" s="1" t="s">
        <v>51</v>
      </c>
      <c r="D1028" s="6" t="s">
        <v>66</v>
      </c>
      <c r="E1028">
        <v>2.2999999999999998</v>
      </c>
      <c r="F1028"/>
      <c r="H1028" s="4"/>
    </row>
    <row r="1029" spans="2:8" x14ac:dyDescent="0.25">
      <c r="B1029"/>
      <c r="C1029" s="1" t="s">
        <v>52</v>
      </c>
      <c r="D1029" s="6" t="s">
        <v>74</v>
      </c>
      <c r="E1029">
        <v>4</v>
      </c>
      <c r="F1029"/>
      <c r="H1029" s="4"/>
    </row>
    <row r="1030" spans="2:8" x14ac:dyDescent="0.25">
      <c r="B1030"/>
      <c r="C1030" s="1" t="s">
        <v>7</v>
      </c>
      <c r="D1030" s="6" t="s">
        <v>62</v>
      </c>
      <c r="E1030">
        <v>2</v>
      </c>
      <c r="F1030"/>
      <c r="H1030" s="4"/>
    </row>
    <row r="1031" spans="2:8" x14ac:dyDescent="0.25">
      <c r="B1031"/>
      <c r="C1031" s="1" t="s">
        <v>53</v>
      </c>
      <c r="D1031" s="6" t="s">
        <v>69</v>
      </c>
      <c r="E1031">
        <v>1</v>
      </c>
      <c r="F1031"/>
      <c r="H1031" s="4"/>
    </row>
    <row r="1032" spans="2:8" x14ac:dyDescent="0.25">
      <c r="B1032"/>
      <c r="C1032" s="1" t="s">
        <v>54</v>
      </c>
      <c r="D1032" s="6" t="s">
        <v>62</v>
      </c>
      <c r="E1032">
        <v>2</v>
      </c>
      <c r="F1032"/>
      <c r="H1032" s="4"/>
    </row>
    <row r="1033" spans="2:8" x14ac:dyDescent="0.25">
      <c r="B1033"/>
      <c r="C1033" s="1" t="s">
        <v>51</v>
      </c>
      <c r="D1033" s="6" t="s">
        <v>62</v>
      </c>
      <c r="E1033">
        <v>2</v>
      </c>
      <c r="F1033"/>
      <c r="H1033" s="4"/>
    </row>
    <row r="1034" spans="2:8" x14ac:dyDescent="0.25">
      <c r="B1034"/>
      <c r="C1034" s="1" t="s">
        <v>52</v>
      </c>
      <c r="D1034" s="6" t="s">
        <v>66</v>
      </c>
      <c r="E1034">
        <v>2.2999999999999998</v>
      </c>
      <c r="F1034"/>
      <c r="H1034" s="4"/>
    </row>
    <row r="1035" spans="2:8" x14ac:dyDescent="0.25">
      <c r="B1035"/>
      <c r="C1035" s="1" t="s">
        <v>7</v>
      </c>
      <c r="D1035" s="6" t="s">
        <v>62</v>
      </c>
      <c r="E1035">
        <v>2</v>
      </c>
      <c r="F1035"/>
      <c r="H1035" s="4"/>
    </row>
    <row r="1036" spans="2:8" x14ac:dyDescent="0.25">
      <c r="B1036"/>
      <c r="C1036" s="1" t="s">
        <v>53</v>
      </c>
      <c r="D1036" s="6" t="s">
        <v>62</v>
      </c>
      <c r="E1036">
        <v>2</v>
      </c>
      <c r="F1036"/>
      <c r="H1036" s="4"/>
    </row>
    <row r="1037" spans="2:8" x14ac:dyDescent="0.25">
      <c r="B1037"/>
      <c r="C1037" s="1" t="s">
        <v>54</v>
      </c>
      <c r="D1037" s="6" t="s">
        <v>69</v>
      </c>
      <c r="E1037">
        <v>1</v>
      </c>
      <c r="F1037"/>
      <c r="H1037" s="4"/>
    </row>
    <row r="1038" spans="2:8" x14ac:dyDescent="0.25">
      <c r="B1038"/>
      <c r="C1038" s="1" t="s">
        <v>51</v>
      </c>
      <c r="D1038" s="6" t="s">
        <v>64</v>
      </c>
      <c r="E1038">
        <v>1.5</v>
      </c>
      <c r="F1038"/>
      <c r="H1038" s="4"/>
    </row>
    <row r="1039" spans="2:8" x14ac:dyDescent="0.25">
      <c r="B1039"/>
      <c r="C1039" s="1" t="s">
        <v>52</v>
      </c>
      <c r="D1039" s="6" t="s">
        <v>62</v>
      </c>
      <c r="E1039">
        <v>2</v>
      </c>
      <c r="F1039"/>
      <c r="H1039" s="4"/>
    </row>
    <row r="1040" spans="2:8" x14ac:dyDescent="0.25">
      <c r="B1040"/>
      <c r="C1040" s="1" t="s">
        <v>7</v>
      </c>
      <c r="D1040" s="6" t="s">
        <v>62</v>
      </c>
      <c r="E1040">
        <v>2</v>
      </c>
      <c r="F1040"/>
      <c r="H1040" s="4"/>
    </row>
    <row r="1041" spans="2:8" x14ac:dyDescent="0.25">
      <c r="B1041"/>
      <c r="C1041" s="1" t="s">
        <v>53</v>
      </c>
      <c r="D1041" s="6" t="s">
        <v>63</v>
      </c>
      <c r="E1041">
        <v>1</v>
      </c>
      <c r="F1041"/>
      <c r="H1041" s="4"/>
    </row>
    <row r="1042" spans="2:8" x14ac:dyDescent="0.25">
      <c r="B1042"/>
      <c r="C1042" s="1" t="s">
        <v>54</v>
      </c>
      <c r="D1042" s="6" t="s">
        <v>62</v>
      </c>
      <c r="E1042">
        <v>2</v>
      </c>
      <c r="F1042"/>
      <c r="H1042" s="4"/>
    </row>
    <row r="1043" spans="2:8" x14ac:dyDescent="0.25">
      <c r="B1043"/>
      <c r="C1043" s="1" t="s">
        <v>51</v>
      </c>
      <c r="D1043" s="6" t="s">
        <v>69</v>
      </c>
      <c r="E1043">
        <v>1</v>
      </c>
      <c r="F1043"/>
      <c r="H1043" s="4"/>
    </row>
    <row r="1044" spans="2:8" x14ac:dyDescent="0.25">
      <c r="B1044"/>
      <c r="C1044" s="1" t="s">
        <v>52</v>
      </c>
      <c r="D1044" s="6" t="s">
        <v>62</v>
      </c>
      <c r="E1044">
        <v>2</v>
      </c>
      <c r="F1044"/>
      <c r="H1044" s="4"/>
    </row>
    <row r="1045" spans="2:8" x14ac:dyDescent="0.25">
      <c r="B1045"/>
      <c r="C1045" s="1" t="s">
        <v>7</v>
      </c>
      <c r="D1045" s="6" t="s">
        <v>64</v>
      </c>
      <c r="E1045">
        <v>1.5</v>
      </c>
      <c r="F1045"/>
      <c r="H1045" s="4"/>
    </row>
    <row r="1046" spans="2:8" x14ac:dyDescent="0.25">
      <c r="B1046"/>
      <c r="C1046" s="1" t="s">
        <v>53</v>
      </c>
      <c r="D1046" s="6" t="s">
        <v>62</v>
      </c>
      <c r="E1046">
        <v>2</v>
      </c>
      <c r="F1046"/>
      <c r="H1046" s="4"/>
    </row>
    <row r="1047" spans="2:8" x14ac:dyDescent="0.25">
      <c r="B1047"/>
      <c r="C1047" s="1" t="s">
        <v>54</v>
      </c>
      <c r="D1047" s="6" t="s">
        <v>62</v>
      </c>
      <c r="E1047">
        <v>2</v>
      </c>
      <c r="F1047"/>
      <c r="H1047" s="4"/>
    </row>
    <row r="1048" spans="2:8" x14ac:dyDescent="0.25">
      <c r="B1048"/>
      <c r="C1048" s="1" t="s">
        <v>51</v>
      </c>
      <c r="D1048" s="6" t="s">
        <v>62</v>
      </c>
      <c r="E1048">
        <v>2</v>
      </c>
      <c r="F1048"/>
      <c r="H1048" s="4"/>
    </row>
    <row r="1049" spans="2:8" x14ac:dyDescent="0.25">
      <c r="B1049"/>
      <c r="C1049" s="1" t="s">
        <v>52</v>
      </c>
      <c r="D1049" s="6" t="s">
        <v>66</v>
      </c>
      <c r="E1049">
        <v>2.2999999999999998</v>
      </c>
      <c r="F1049"/>
      <c r="H1049" s="4"/>
    </row>
    <row r="1050" spans="2:8" x14ac:dyDescent="0.25">
      <c r="B1050"/>
      <c r="C1050" s="1" t="s">
        <v>7</v>
      </c>
      <c r="D1050" s="6" t="s">
        <v>62</v>
      </c>
      <c r="E1050">
        <v>2</v>
      </c>
      <c r="F1050"/>
      <c r="H1050" s="4"/>
    </row>
    <row r="1051" spans="2:8" x14ac:dyDescent="0.25">
      <c r="B1051"/>
      <c r="C1051" s="1" t="s">
        <v>53</v>
      </c>
      <c r="D1051" s="6" t="s">
        <v>64</v>
      </c>
      <c r="E1051">
        <v>1.5</v>
      </c>
      <c r="F1051"/>
      <c r="H1051" s="4"/>
    </row>
    <row r="1052" spans="2:8" x14ac:dyDescent="0.25">
      <c r="B1052"/>
      <c r="C1052" s="1" t="s">
        <v>54</v>
      </c>
      <c r="D1052" s="6" t="s">
        <v>62</v>
      </c>
      <c r="E1052">
        <v>2</v>
      </c>
      <c r="F1052"/>
      <c r="H1052" s="4"/>
    </row>
    <row r="1053" spans="2:8" x14ac:dyDescent="0.25">
      <c r="B1053"/>
      <c r="C1053" s="1" t="s">
        <v>51</v>
      </c>
      <c r="D1053" s="6" t="s">
        <v>62</v>
      </c>
      <c r="E1053">
        <v>2</v>
      </c>
      <c r="F1053"/>
      <c r="H1053" s="4"/>
    </row>
    <row r="1054" spans="2:8" x14ac:dyDescent="0.25">
      <c r="B1054"/>
      <c r="C1054" s="1" t="s">
        <v>52</v>
      </c>
      <c r="D1054" s="6" t="s">
        <v>62</v>
      </c>
      <c r="E1054">
        <v>2</v>
      </c>
      <c r="F1054"/>
      <c r="H1054" s="4"/>
    </row>
    <row r="1055" spans="2:8" x14ac:dyDescent="0.25">
      <c r="B1055"/>
      <c r="C1055" s="1" t="s">
        <v>7</v>
      </c>
      <c r="D1055" s="6" t="s">
        <v>64</v>
      </c>
      <c r="E1055">
        <v>1.5</v>
      </c>
      <c r="F1055"/>
      <c r="H1055" s="4"/>
    </row>
    <row r="1056" spans="2:8" x14ac:dyDescent="0.25">
      <c r="B1056"/>
      <c r="C1056" s="1" t="s">
        <v>53</v>
      </c>
      <c r="D1056" s="6" t="s">
        <v>62</v>
      </c>
      <c r="E1056">
        <v>2</v>
      </c>
      <c r="F1056"/>
      <c r="H1056" s="4"/>
    </row>
    <row r="1057" spans="2:8" x14ac:dyDescent="0.25">
      <c r="B1057"/>
      <c r="C1057" s="1" t="s">
        <v>54</v>
      </c>
      <c r="D1057" s="6" t="s">
        <v>62</v>
      </c>
      <c r="E1057">
        <v>2</v>
      </c>
      <c r="F1057"/>
      <c r="H1057" s="4"/>
    </row>
    <row r="1058" spans="2:8" x14ac:dyDescent="0.25">
      <c r="B1058"/>
      <c r="C1058" s="1" t="s">
        <v>51</v>
      </c>
      <c r="D1058" s="6" t="s">
        <v>62</v>
      </c>
      <c r="E1058">
        <v>2</v>
      </c>
      <c r="F1058"/>
      <c r="H1058" s="4"/>
    </row>
    <row r="1059" spans="2:8" x14ac:dyDescent="0.25">
      <c r="B1059"/>
      <c r="C1059" s="1" t="s">
        <v>52</v>
      </c>
      <c r="D1059" s="6" t="s">
        <v>62</v>
      </c>
      <c r="E1059">
        <v>2</v>
      </c>
      <c r="F1059"/>
      <c r="H1059" s="4"/>
    </row>
    <row r="1060" spans="2:8" x14ac:dyDescent="0.25">
      <c r="B1060"/>
      <c r="C1060" s="1" t="s">
        <v>7</v>
      </c>
      <c r="D1060" s="6" t="s">
        <v>69</v>
      </c>
      <c r="E1060">
        <v>1</v>
      </c>
      <c r="F1060"/>
      <c r="H1060" s="4"/>
    </row>
    <row r="1061" spans="2:8" x14ac:dyDescent="0.25">
      <c r="B1061"/>
      <c r="C1061" s="1" t="s">
        <v>53</v>
      </c>
      <c r="D1061" s="6" t="s">
        <v>69</v>
      </c>
      <c r="E1061">
        <v>1</v>
      </c>
      <c r="F1061"/>
      <c r="H1061" s="4"/>
    </row>
    <row r="1062" spans="2:8" x14ac:dyDescent="0.25">
      <c r="B1062"/>
      <c r="C1062" s="1" t="s">
        <v>54</v>
      </c>
      <c r="D1062" s="6" t="s">
        <v>69</v>
      </c>
      <c r="E1062">
        <v>1</v>
      </c>
      <c r="F1062"/>
      <c r="H1062" s="4"/>
    </row>
    <row r="1063" spans="2:8" x14ac:dyDescent="0.25">
      <c r="B1063"/>
      <c r="C1063" s="1" t="s">
        <v>51</v>
      </c>
      <c r="D1063" s="6" t="s">
        <v>69</v>
      </c>
      <c r="E1063">
        <v>1</v>
      </c>
      <c r="F1063"/>
      <c r="H1063" s="4"/>
    </row>
    <row r="1064" spans="2:8" x14ac:dyDescent="0.25">
      <c r="B1064"/>
      <c r="C1064" s="1" t="s">
        <v>52</v>
      </c>
      <c r="D1064" s="6" t="s">
        <v>62</v>
      </c>
      <c r="E1064">
        <v>2</v>
      </c>
      <c r="F1064"/>
      <c r="H1064" s="4"/>
    </row>
    <row r="1065" spans="2:8" x14ac:dyDescent="0.25">
      <c r="B1065"/>
      <c r="C1065" s="1" t="s">
        <v>7</v>
      </c>
      <c r="D1065" s="6" t="s">
        <v>66</v>
      </c>
      <c r="E1065">
        <v>2.2999999999999998</v>
      </c>
      <c r="F1065"/>
      <c r="H1065" s="4"/>
    </row>
    <row r="1066" spans="2:8" x14ac:dyDescent="0.25">
      <c r="B1066"/>
      <c r="C1066" s="1" t="s">
        <v>53</v>
      </c>
      <c r="D1066" s="6" t="s">
        <v>66</v>
      </c>
      <c r="E1066">
        <v>2.2999999999999998</v>
      </c>
      <c r="F1066"/>
      <c r="H1066" s="4"/>
    </row>
    <row r="1067" spans="2:8" x14ac:dyDescent="0.25">
      <c r="B1067"/>
      <c r="C1067" s="1" t="s">
        <v>54</v>
      </c>
      <c r="D1067" s="6" t="s">
        <v>62</v>
      </c>
      <c r="E1067">
        <v>2</v>
      </c>
      <c r="F1067"/>
      <c r="H1067" s="4"/>
    </row>
    <row r="1068" spans="2:8" x14ac:dyDescent="0.25">
      <c r="B1068"/>
      <c r="C1068" s="1" t="s">
        <v>51</v>
      </c>
      <c r="D1068" s="6" t="s">
        <v>64</v>
      </c>
      <c r="E1068">
        <v>1.5</v>
      </c>
      <c r="F1068"/>
      <c r="H1068" s="4"/>
    </row>
    <row r="1069" spans="2:8" x14ac:dyDescent="0.25">
      <c r="B1069"/>
      <c r="C1069" s="1" t="s">
        <v>52</v>
      </c>
      <c r="D1069" s="6" t="s">
        <v>75</v>
      </c>
      <c r="E1069">
        <v>16</v>
      </c>
      <c r="F1069"/>
      <c r="H1069" s="4"/>
    </row>
    <row r="1070" spans="2:8" x14ac:dyDescent="0.25">
      <c r="B1070"/>
      <c r="C1070" s="1" t="s">
        <v>7</v>
      </c>
      <c r="D1070" s="6" t="s">
        <v>75</v>
      </c>
      <c r="E1070">
        <v>16</v>
      </c>
      <c r="F1070"/>
      <c r="H1070" s="4"/>
    </row>
    <row r="1071" spans="2:8" x14ac:dyDescent="0.25">
      <c r="B1071"/>
      <c r="C1071" s="1" t="s">
        <v>53</v>
      </c>
      <c r="D1071" s="6" t="s">
        <v>75</v>
      </c>
      <c r="E1071">
        <v>16</v>
      </c>
      <c r="F1071"/>
      <c r="H1071" s="4"/>
    </row>
    <row r="1072" spans="2:8" x14ac:dyDescent="0.25">
      <c r="B1072"/>
      <c r="C1072" s="1" t="s">
        <v>54</v>
      </c>
      <c r="D1072" s="6" t="s">
        <v>62</v>
      </c>
      <c r="E1072">
        <v>2</v>
      </c>
      <c r="F1072"/>
      <c r="H1072" s="4"/>
    </row>
    <row r="1073" spans="2:8" x14ac:dyDescent="0.25">
      <c r="B1073"/>
      <c r="C1073" s="1" t="s">
        <v>51</v>
      </c>
      <c r="D1073" s="6" t="s">
        <v>75</v>
      </c>
      <c r="E1073">
        <v>16</v>
      </c>
      <c r="F1073"/>
      <c r="H1073" s="4"/>
    </row>
    <row r="1074" spans="2:8" x14ac:dyDescent="0.25">
      <c r="B1074"/>
      <c r="C1074" s="1" t="s">
        <v>52</v>
      </c>
      <c r="D1074" s="6" t="s">
        <v>75</v>
      </c>
      <c r="E1074">
        <v>16</v>
      </c>
      <c r="F1074"/>
      <c r="H1074" s="4"/>
    </row>
    <row r="1075" spans="2:8" x14ac:dyDescent="0.25">
      <c r="B1075"/>
      <c r="C1075" s="1" t="s">
        <v>7</v>
      </c>
      <c r="D1075" s="6" t="s">
        <v>75</v>
      </c>
      <c r="E1075">
        <v>16</v>
      </c>
      <c r="F1075"/>
      <c r="H1075" s="4"/>
    </row>
    <row r="1076" spans="2:8" x14ac:dyDescent="0.25">
      <c r="B1076"/>
      <c r="C1076" s="1" t="s">
        <v>53</v>
      </c>
      <c r="D1076" s="6" t="s">
        <v>75</v>
      </c>
      <c r="E1076">
        <v>16</v>
      </c>
      <c r="F1076"/>
      <c r="H1076" s="4"/>
    </row>
    <row r="1077" spans="2:8" x14ac:dyDescent="0.25">
      <c r="B1077"/>
      <c r="C1077" s="1" t="s">
        <v>54</v>
      </c>
      <c r="D1077" s="6" t="s">
        <v>75</v>
      </c>
      <c r="E1077">
        <v>16</v>
      </c>
      <c r="F1077"/>
      <c r="H1077" s="4"/>
    </row>
    <row r="1078" spans="2:8" x14ac:dyDescent="0.25">
      <c r="B1078"/>
      <c r="C1078" s="1" t="s">
        <v>51</v>
      </c>
      <c r="D1078" s="6" t="s">
        <v>75</v>
      </c>
      <c r="E1078">
        <v>16</v>
      </c>
      <c r="F1078"/>
      <c r="H1078" s="4"/>
    </row>
    <row r="1079" spans="2:8" x14ac:dyDescent="0.25">
      <c r="B1079"/>
      <c r="C1079" s="1" t="s">
        <v>52</v>
      </c>
      <c r="D1079" s="6" t="s">
        <v>75</v>
      </c>
      <c r="E1079">
        <v>16</v>
      </c>
      <c r="F1079"/>
      <c r="H1079" s="4"/>
    </row>
    <row r="1080" spans="2:8" x14ac:dyDescent="0.25">
      <c r="B1080"/>
      <c r="C1080" s="1" t="s">
        <v>7</v>
      </c>
      <c r="D1080" s="6" t="s">
        <v>75</v>
      </c>
      <c r="E1080">
        <v>16</v>
      </c>
      <c r="F1080"/>
      <c r="H1080" s="4"/>
    </row>
    <row r="1081" spans="2:8" x14ac:dyDescent="0.25">
      <c r="B1081"/>
      <c r="C1081" s="1" t="s">
        <v>53</v>
      </c>
      <c r="D1081" s="6" t="s">
        <v>87</v>
      </c>
      <c r="E1081">
        <v>6</v>
      </c>
      <c r="F1081"/>
      <c r="H1081" s="4"/>
    </row>
    <row r="1082" spans="2:8" x14ac:dyDescent="0.25">
      <c r="B1082"/>
      <c r="C1082" s="1" t="s">
        <v>54</v>
      </c>
      <c r="D1082" s="6" t="s">
        <v>72</v>
      </c>
      <c r="E1082">
        <v>0.5</v>
      </c>
      <c r="F1082"/>
      <c r="H1082" s="4"/>
    </row>
    <row r="1083" spans="2:8" x14ac:dyDescent="0.25">
      <c r="B1083"/>
      <c r="C1083" s="1" t="s">
        <v>51</v>
      </c>
      <c r="D1083" s="6" t="s">
        <v>64</v>
      </c>
      <c r="E1083">
        <v>1.5</v>
      </c>
      <c r="F1083"/>
      <c r="H1083" s="4"/>
    </row>
    <row r="1084" spans="2:8" x14ac:dyDescent="0.25">
      <c r="B1084"/>
      <c r="C1084" s="1" t="s">
        <v>52</v>
      </c>
      <c r="D1084" s="6" t="s">
        <v>66</v>
      </c>
      <c r="E1084">
        <v>2.2999999999999998</v>
      </c>
      <c r="F1084"/>
      <c r="H1084" s="4"/>
    </row>
    <row r="1085" spans="2:8" x14ac:dyDescent="0.25">
      <c r="B1085"/>
      <c r="C1085" s="1" t="s">
        <v>7</v>
      </c>
      <c r="D1085" s="6" t="s">
        <v>62</v>
      </c>
      <c r="E1085">
        <v>2</v>
      </c>
      <c r="F1085"/>
      <c r="H1085" s="4"/>
    </row>
    <row r="1086" spans="2:8" x14ac:dyDescent="0.25">
      <c r="B1086"/>
      <c r="C1086" s="1" t="s">
        <v>53</v>
      </c>
      <c r="D1086" s="6" t="s">
        <v>62</v>
      </c>
      <c r="E1086">
        <v>2</v>
      </c>
      <c r="F1086"/>
      <c r="H1086" s="4"/>
    </row>
    <row r="1087" spans="2:8" x14ac:dyDescent="0.25">
      <c r="B1087"/>
      <c r="C1087" s="1" t="s">
        <v>54</v>
      </c>
      <c r="D1087" s="6" t="s">
        <v>62</v>
      </c>
      <c r="E1087">
        <v>2</v>
      </c>
      <c r="F1087"/>
      <c r="H1087" s="4"/>
    </row>
    <row r="1088" spans="2:8" x14ac:dyDescent="0.25">
      <c r="B1088"/>
      <c r="C1088" s="1" t="s">
        <v>51</v>
      </c>
      <c r="D1088" s="6" t="s">
        <v>62</v>
      </c>
      <c r="E1088">
        <v>2</v>
      </c>
      <c r="F1088"/>
      <c r="H1088" s="4"/>
    </row>
    <row r="1089" spans="2:8" x14ac:dyDescent="0.25">
      <c r="B1089"/>
      <c r="C1089" s="1" t="s">
        <v>52</v>
      </c>
      <c r="D1089" s="6" t="s">
        <v>62</v>
      </c>
      <c r="E1089">
        <v>2</v>
      </c>
      <c r="F1089"/>
      <c r="H1089" s="4"/>
    </row>
    <row r="1090" spans="2:8" x14ac:dyDescent="0.25">
      <c r="B1090"/>
      <c r="C1090" s="1" t="s">
        <v>7</v>
      </c>
      <c r="D1090" s="6" t="s">
        <v>65</v>
      </c>
      <c r="E1090">
        <v>2</v>
      </c>
      <c r="F1090"/>
      <c r="H1090" s="4"/>
    </row>
    <row r="1091" spans="2:8" x14ac:dyDescent="0.25">
      <c r="B1091"/>
      <c r="C1091" s="1" t="s">
        <v>53</v>
      </c>
      <c r="D1091" s="6" t="s">
        <v>65</v>
      </c>
      <c r="E1091">
        <v>2</v>
      </c>
      <c r="F1091"/>
      <c r="H1091" s="4"/>
    </row>
    <row r="1092" spans="2:8" x14ac:dyDescent="0.25">
      <c r="B1092"/>
      <c r="C1092" s="1" t="s">
        <v>54</v>
      </c>
      <c r="D1092" s="6" t="s">
        <v>62</v>
      </c>
      <c r="E1092">
        <v>2</v>
      </c>
      <c r="F1092"/>
      <c r="H1092" s="4"/>
    </row>
    <row r="1093" spans="2:8" x14ac:dyDescent="0.25">
      <c r="B1093"/>
      <c r="C1093" s="1" t="s">
        <v>51</v>
      </c>
      <c r="D1093" s="6" t="s">
        <v>64</v>
      </c>
      <c r="E1093">
        <v>1.5</v>
      </c>
      <c r="F1093"/>
      <c r="H1093" s="4"/>
    </row>
    <row r="1094" spans="2:8" x14ac:dyDescent="0.25">
      <c r="B1094"/>
      <c r="C1094" s="1" t="s">
        <v>52</v>
      </c>
      <c r="D1094" s="6" t="s">
        <v>65</v>
      </c>
      <c r="E1094">
        <v>2</v>
      </c>
      <c r="F1094"/>
      <c r="H1094" s="4"/>
    </row>
    <row r="1095" spans="2:8" x14ac:dyDescent="0.25">
      <c r="B1095"/>
      <c r="C1095" s="1" t="s">
        <v>7</v>
      </c>
      <c r="D1095" s="6" t="s">
        <v>66</v>
      </c>
      <c r="E1095">
        <v>2.2999999999999998</v>
      </c>
      <c r="F1095"/>
      <c r="H1095" s="4"/>
    </row>
    <row r="1096" spans="2:8" x14ac:dyDescent="0.25">
      <c r="B1096"/>
      <c r="C1096" s="1" t="s">
        <v>53</v>
      </c>
      <c r="D1096" s="6" t="s">
        <v>66</v>
      </c>
      <c r="E1096">
        <v>2.2999999999999998</v>
      </c>
      <c r="F1096"/>
      <c r="H1096" s="4"/>
    </row>
    <row r="1097" spans="2:8" x14ac:dyDescent="0.25">
      <c r="B1097"/>
      <c r="C1097" s="1" t="s">
        <v>54</v>
      </c>
      <c r="D1097" s="6" t="s">
        <v>65</v>
      </c>
      <c r="E1097">
        <v>2</v>
      </c>
      <c r="F1097"/>
      <c r="H1097" s="4"/>
    </row>
    <row r="1098" spans="2:8" x14ac:dyDescent="0.25">
      <c r="B1098"/>
      <c r="C1098" s="1" t="s">
        <v>51</v>
      </c>
      <c r="D1098" s="6" t="s">
        <v>62</v>
      </c>
      <c r="E1098">
        <v>2</v>
      </c>
      <c r="F1098"/>
      <c r="H1098" s="4"/>
    </row>
    <row r="1099" spans="2:8" x14ac:dyDescent="0.25">
      <c r="B1099"/>
      <c r="C1099" s="1" t="s">
        <v>52</v>
      </c>
      <c r="D1099" s="6" t="s">
        <v>65</v>
      </c>
      <c r="E1099">
        <v>2</v>
      </c>
      <c r="F1099"/>
      <c r="H1099" s="4"/>
    </row>
    <row r="1100" spans="2:8" x14ac:dyDescent="0.25">
      <c r="B1100"/>
      <c r="C1100" s="1" t="s">
        <v>7</v>
      </c>
      <c r="D1100" s="6" t="s">
        <v>65</v>
      </c>
      <c r="E1100">
        <v>2</v>
      </c>
      <c r="F1100"/>
      <c r="H1100" s="4"/>
    </row>
    <row r="1101" spans="2:8" x14ac:dyDescent="0.25">
      <c r="B1101"/>
      <c r="C1101" s="1" t="s">
        <v>53</v>
      </c>
      <c r="D1101" s="6" t="s">
        <v>62</v>
      </c>
      <c r="E1101">
        <v>2</v>
      </c>
      <c r="F1101"/>
      <c r="H1101" s="4"/>
    </row>
    <row r="1102" spans="2:8" x14ac:dyDescent="0.25">
      <c r="B1102"/>
      <c r="C1102" s="1" t="s">
        <v>54</v>
      </c>
      <c r="D1102" s="6" t="s">
        <v>62</v>
      </c>
      <c r="E1102">
        <v>2</v>
      </c>
      <c r="F1102"/>
      <c r="H1102" s="4"/>
    </row>
    <row r="1103" spans="2:8" x14ac:dyDescent="0.25">
      <c r="B1103"/>
      <c r="C1103" s="1" t="s">
        <v>51</v>
      </c>
      <c r="D1103" s="6" t="s">
        <v>65</v>
      </c>
      <c r="E1103">
        <v>2</v>
      </c>
      <c r="F1103"/>
      <c r="H1103" s="4"/>
    </row>
    <row r="1104" spans="2:8" x14ac:dyDescent="0.25">
      <c r="B1104"/>
      <c r="C1104" s="1" t="s">
        <v>52</v>
      </c>
      <c r="D1104" s="6" t="s">
        <v>62</v>
      </c>
      <c r="E1104">
        <v>2</v>
      </c>
      <c r="F1104"/>
      <c r="H1104" s="4"/>
    </row>
    <row r="1105" spans="2:8" x14ac:dyDescent="0.25">
      <c r="B1105"/>
      <c r="C1105" s="1" t="s">
        <v>7</v>
      </c>
      <c r="D1105" s="6" t="s">
        <v>62</v>
      </c>
      <c r="E1105">
        <v>2</v>
      </c>
      <c r="F1105"/>
      <c r="H1105" s="4"/>
    </row>
    <row r="1106" spans="2:8" x14ac:dyDescent="0.25">
      <c r="B1106"/>
      <c r="C1106" s="1" t="s">
        <v>53</v>
      </c>
      <c r="D1106" s="6" t="s">
        <v>62</v>
      </c>
      <c r="E1106">
        <v>2</v>
      </c>
      <c r="F1106"/>
      <c r="H1106" s="4"/>
    </row>
    <row r="1107" spans="2:8" x14ac:dyDescent="0.25">
      <c r="B1107"/>
      <c r="C1107" s="1" t="s">
        <v>54</v>
      </c>
      <c r="D1107" s="6" t="s">
        <v>62</v>
      </c>
      <c r="E1107">
        <v>2</v>
      </c>
      <c r="F1107"/>
      <c r="H1107" s="4"/>
    </row>
    <row r="1108" spans="2:8" x14ac:dyDescent="0.25">
      <c r="B1108"/>
      <c r="C1108" s="1" t="s">
        <v>51</v>
      </c>
      <c r="D1108" s="6" t="s">
        <v>62</v>
      </c>
      <c r="E1108">
        <v>2</v>
      </c>
      <c r="F1108"/>
      <c r="H1108" s="4"/>
    </row>
    <row r="1109" spans="2:8" x14ac:dyDescent="0.25">
      <c r="B1109"/>
      <c r="C1109" s="1" t="s">
        <v>52</v>
      </c>
      <c r="D1109" s="6" t="s">
        <v>66</v>
      </c>
      <c r="E1109">
        <v>2.2999999999999998</v>
      </c>
      <c r="F1109"/>
      <c r="H1109" s="4"/>
    </row>
    <row r="1110" spans="2:8" x14ac:dyDescent="0.25">
      <c r="B1110"/>
      <c r="C1110" s="1" t="s">
        <v>7</v>
      </c>
      <c r="D1110" s="6" t="s">
        <v>62</v>
      </c>
      <c r="E1110">
        <v>2</v>
      </c>
      <c r="F1110"/>
      <c r="H1110" s="4"/>
    </row>
    <row r="1111" spans="2:8" x14ac:dyDescent="0.25">
      <c r="B1111"/>
      <c r="C1111" s="1" t="s">
        <v>53</v>
      </c>
      <c r="D1111" s="6" t="s">
        <v>69</v>
      </c>
      <c r="E1111">
        <v>1</v>
      </c>
      <c r="F1111"/>
      <c r="H1111" s="4"/>
    </row>
    <row r="1112" spans="2:8" x14ac:dyDescent="0.25">
      <c r="B1112"/>
      <c r="C1112" s="1" t="s">
        <v>54</v>
      </c>
      <c r="D1112" s="6" t="s">
        <v>62</v>
      </c>
      <c r="E1112">
        <v>2</v>
      </c>
      <c r="F1112"/>
      <c r="H1112" s="4"/>
    </row>
    <row r="1113" spans="2:8" x14ac:dyDescent="0.25">
      <c r="B1113"/>
      <c r="C1113" s="1" t="s">
        <v>51</v>
      </c>
      <c r="D1113" s="6" t="s">
        <v>62</v>
      </c>
      <c r="E1113">
        <v>2</v>
      </c>
      <c r="F1113"/>
      <c r="H1113" s="4"/>
    </row>
    <row r="1114" spans="2:8" x14ac:dyDescent="0.25">
      <c r="B1114"/>
      <c r="C1114" s="1" t="s">
        <v>52</v>
      </c>
      <c r="D1114" s="6" t="s">
        <v>67</v>
      </c>
      <c r="E1114">
        <v>3</v>
      </c>
      <c r="F1114"/>
      <c r="H1114" s="4"/>
    </row>
    <row r="1115" spans="2:8" x14ac:dyDescent="0.25">
      <c r="B1115"/>
      <c r="C1115" s="1" t="s">
        <v>7</v>
      </c>
      <c r="D1115" s="6" t="s">
        <v>66</v>
      </c>
      <c r="E1115">
        <v>2.2999999999999998</v>
      </c>
      <c r="F1115"/>
      <c r="H1115" s="4"/>
    </row>
    <row r="1116" spans="2:8" x14ac:dyDescent="0.25">
      <c r="B1116"/>
      <c r="C1116" s="1" t="s">
        <v>53</v>
      </c>
      <c r="D1116" s="6" t="s">
        <v>62</v>
      </c>
      <c r="E1116">
        <v>2</v>
      </c>
      <c r="F1116"/>
      <c r="H1116" s="4"/>
    </row>
    <row r="1117" spans="2:8" x14ac:dyDescent="0.25">
      <c r="B1117"/>
      <c r="C1117" s="1" t="s">
        <v>54</v>
      </c>
      <c r="D1117" s="6" t="s">
        <v>69</v>
      </c>
      <c r="E1117">
        <v>1</v>
      </c>
      <c r="F1117"/>
      <c r="H1117" s="4"/>
    </row>
    <row r="1118" spans="2:8" x14ac:dyDescent="0.25">
      <c r="B1118"/>
      <c r="C1118" s="1" t="s">
        <v>51</v>
      </c>
      <c r="D1118" s="6" t="s">
        <v>68</v>
      </c>
      <c r="E1118">
        <v>1.25</v>
      </c>
      <c r="F1118"/>
      <c r="H1118" s="4"/>
    </row>
    <row r="1119" spans="2:8" x14ac:dyDescent="0.25">
      <c r="B1119"/>
      <c r="C1119" s="1" t="s">
        <v>52</v>
      </c>
      <c r="D1119" s="6" t="s">
        <v>64</v>
      </c>
      <c r="E1119">
        <v>1.5</v>
      </c>
      <c r="F1119"/>
      <c r="H1119" s="4"/>
    </row>
    <row r="1120" spans="2:8" x14ac:dyDescent="0.25">
      <c r="B1120"/>
      <c r="C1120" s="1" t="s">
        <v>7</v>
      </c>
      <c r="D1120" s="6" t="s">
        <v>62</v>
      </c>
      <c r="E1120">
        <v>2</v>
      </c>
      <c r="F1120"/>
      <c r="H1120" s="4"/>
    </row>
    <row r="1121" spans="2:8" x14ac:dyDescent="0.25">
      <c r="B1121"/>
      <c r="C1121" s="1" t="s">
        <v>53</v>
      </c>
      <c r="D1121" s="6" t="s">
        <v>62</v>
      </c>
      <c r="E1121">
        <v>2</v>
      </c>
      <c r="F1121"/>
      <c r="H1121" s="4"/>
    </row>
    <row r="1122" spans="2:8" x14ac:dyDescent="0.25">
      <c r="B1122"/>
      <c r="C1122" s="1" t="s">
        <v>54</v>
      </c>
      <c r="D1122" s="6" t="s">
        <v>66</v>
      </c>
      <c r="E1122">
        <v>2.2999999999999998</v>
      </c>
      <c r="F1122"/>
      <c r="H1122" s="4"/>
    </row>
    <row r="1123" spans="2:8" x14ac:dyDescent="0.25">
      <c r="B1123"/>
      <c r="C1123" s="1" t="s">
        <v>51</v>
      </c>
      <c r="D1123" s="6" t="s">
        <v>62</v>
      </c>
      <c r="E1123">
        <v>2</v>
      </c>
      <c r="F1123"/>
      <c r="H1123" s="4"/>
    </row>
    <row r="1124" spans="2:8" x14ac:dyDescent="0.25">
      <c r="B1124"/>
      <c r="C1124" s="1" t="s">
        <v>52</v>
      </c>
      <c r="D1124" s="6" t="s">
        <v>62</v>
      </c>
      <c r="E1124">
        <v>2</v>
      </c>
      <c r="F1124"/>
      <c r="H1124" s="4"/>
    </row>
    <row r="1125" spans="2:8" x14ac:dyDescent="0.25">
      <c r="B1125"/>
      <c r="C1125" s="1" t="s">
        <v>7</v>
      </c>
      <c r="D1125" s="6" t="s">
        <v>62</v>
      </c>
      <c r="E1125">
        <v>2</v>
      </c>
      <c r="F1125"/>
      <c r="H1125" s="4"/>
    </row>
    <row r="1126" spans="2:8" x14ac:dyDescent="0.25">
      <c r="B1126"/>
      <c r="C1126" s="1" t="s">
        <v>53</v>
      </c>
      <c r="D1126" s="6" t="s">
        <v>69</v>
      </c>
      <c r="E1126">
        <v>1</v>
      </c>
      <c r="F1126"/>
      <c r="H1126" s="4"/>
    </row>
    <row r="1127" spans="2:8" x14ac:dyDescent="0.25">
      <c r="B1127"/>
      <c r="C1127" s="1" t="s">
        <v>54</v>
      </c>
      <c r="D1127" s="6" t="s">
        <v>62</v>
      </c>
      <c r="E1127">
        <v>2</v>
      </c>
      <c r="F1127"/>
      <c r="H1127" s="4"/>
    </row>
    <row r="1128" spans="2:8" x14ac:dyDescent="0.25">
      <c r="B1128"/>
      <c r="C1128" s="1" t="s">
        <v>51</v>
      </c>
      <c r="D1128" s="6" t="s">
        <v>64</v>
      </c>
      <c r="E1128">
        <v>1.5</v>
      </c>
      <c r="F1128"/>
      <c r="H1128" s="4"/>
    </row>
    <row r="1129" spans="2:8" x14ac:dyDescent="0.25">
      <c r="B1129"/>
      <c r="C1129" s="1" t="s">
        <v>52</v>
      </c>
      <c r="D1129" s="6" t="s">
        <v>69</v>
      </c>
      <c r="E1129">
        <v>1</v>
      </c>
      <c r="F1129"/>
      <c r="H1129" s="4"/>
    </row>
    <row r="1130" spans="2:8" x14ac:dyDescent="0.25">
      <c r="B1130"/>
      <c r="C1130" s="1" t="s">
        <v>7</v>
      </c>
      <c r="D1130" s="6" t="s">
        <v>65</v>
      </c>
      <c r="E1130">
        <v>2</v>
      </c>
      <c r="F1130"/>
      <c r="H1130" s="4"/>
    </row>
    <row r="1131" spans="2:8" x14ac:dyDescent="0.25">
      <c r="B1131"/>
      <c r="C1131" s="1" t="s">
        <v>53</v>
      </c>
      <c r="D1131" s="6" t="s">
        <v>66</v>
      </c>
      <c r="E1131">
        <v>2.2999999999999998</v>
      </c>
      <c r="F1131"/>
      <c r="H1131" s="4"/>
    </row>
    <row r="1132" spans="2:8" x14ac:dyDescent="0.25">
      <c r="B1132"/>
      <c r="C1132" s="1" t="s">
        <v>54</v>
      </c>
      <c r="D1132" s="6" t="s">
        <v>62</v>
      </c>
      <c r="E1132">
        <v>2</v>
      </c>
      <c r="F1132"/>
      <c r="H1132" s="4"/>
    </row>
    <row r="1133" spans="2:8" x14ac:dyDescent="0.25">
      <c r="B1133"/>
      <c r="C1133" s="1" t="s">
        <v>51</v>
      </c>
      <c r="D1133" s="6" t="s">
        <v>62</v>
      </c>
      <c r="E1133">
        <v>2</v>
      </c>
      <c r="F1133"/>
      <c r="H1133" s="4"/>
    </row>
    <row r="1134" spans="2:8" x14ac:dyDescent="0.25">
      <c r="B1134"/>
      <c r="C1134" s="1" t="s">
        <v>52</v>
      </c>
      <c r="D1134" s="6" t="s">
        <v>69</v>
      </c>
      <c r="E1134">
        <v>1</v>
      </c>
      <c r="F1134"/>
      <c r="H1134" s="4"/>
    </row>
    <row r="1135" spans="2:8" x14ac:dyDescent="0.25">
      <c r="B1135"/>
      <c r="C1135" s="1" t="s">
        <v>7</v>
      </c>
      <c r="D1135" s="6" t="s">
        <v>62</v>
      </c>
      <c r="E1135">
        <v>2</v>
      </c>
      <c r="F1135"/>
      <c r="H1135" s="4"/>
    </row>
    <row r="1136" spans="2:8" x14ac:dyDescent="0.25">
      <c r="B1136"/>
      <c r="C1136" s="1" t="s">
        <v>53</v>
      </c>
      <c r="D1136" s="6" t="s">
        <v>62</v>
      </c>
      <c r="E1136">
        <v>2</v>
      </c>
      <c r="F1136"/>
      <c r="H1136" s="4"/>
    </row>
    <row r="1137" spans="2:8" x14ac:dyDescent="0.25">
      <c r="B1137"/>
      <c r="C1137" s="1" t="s">
        <v>54</v>
      </c>
      <c r="D1137" s="6" t="s">
        <v>62</v>
      </c>
      <c r="E1137">
        <v>2</v>
      </c>
      <c r="F1137"/>
      <c r="H1137" s="4"/>
    </row>
    <row r="1138" spans="2:8" x14ac:dyDescent="0.25">
      <c r="B1138"/>
      <c r="C1138" s="1" t="s">
        <v>51</v>
      </c>
      <c r="D1138" s="6" t="s">
        <v>64</v>
      </c>
      <c r="E1138">
        <v>1.5</v>
      </c>
      <c r="F1138"/>
      <c r="H1138" s="4"/>
    </row>
    <row r="1139" spans="2:8" x14ac:dyDescent="0.25">
      <c r="B1139"/>
      <c r="C1139" s="1" t="s">
        <v>52</v>
      </c>
      <c r="D1139" s="6" t="s">
        <v>82</v>
      </c>
      <c r="E1139">
        <v>20</v>
      </c>
      <c r="F1139"/>
      <c r="H1139" s="4"/>
    </row>
    <row r="1140" spans="2:8" x14ac:dyDescent="0.25">
      <c r="B1140"/>
      <c r="C1140" s="1" t="s">
        <v>7</v>
      </c>
      <c r="D1140" s="6" t="s">
        <v>62</v>
      </c>
      <c r="E1140">
        <v>2</v>
      </c>
      <c r="F1140"/>
      <c r="H1140" s="4"/>
    </row>
    <row r="1141" spans="2:8" x14ac:dyDescent="0.25">
      <c r="B1141"/>
      <c r="C1141" s="1" t="s">
        <v>53</v>
      </c>
      <c r="D1141" s="6" t="s">
        <v>69</v>
      </c>
      <c r="E1141">
        <v>1</v>
      </c>
      <c r="F1141"/>
      <c r="H1141" s="4"/>
    </row>
    <row r="1142" spans="2:8" x14ac:dyDescent="0.25">
      <c r="B1142"/>
      <c r="C1142" s="1" t="s">
        <v>54</v>
      </c>
      <c r="D1142" s="6" t="s">
        <v>62</v>
      </c>
      <c r="E1142">
        <v>2</v>
      </c>
      <c r="F1142"/>
      <c r="H1142" s="4"/>
    </row>
    <row r="1143" spans="2:8" x14ac:dyDescent="0.25">
      <c r="B1143"/>
      <c r="C1143" s="1" t="s">
        <v>51</v>
      </c>
      <c r="D1143" s="6" t="s">
        <v>62</v>
      </c>
      <c r="E1143">
        <v>2</v>
      </c>
      <c r="F1143"/>
      <c r="H1143" s="4"/>
    </row>
    <row r="1144" spans="2:8" x14ac:dyDescent="0.25">
      <c r="B1144"/>
      <c r="C1144" s="1" t="s">
        <v>52</v>
      </c>
      <c r="D1144" s="6" t="s">
        <v>64</v>
      </c>
      <c r="E1144">
        <v>1.5</v>
      </c>
      <c r="F1144"/>
      <c r="H1144" s="4"/>
    </row>
    <row r="1145" spans="2:8" x14ac:dyDescent="0.25">
      <c r="B1145"/>
      <c r="C1145" s="1" t="s">
        <v>7</v>
      </c>
      <c r="D1145" s="6" t="s">
        <v>65</v>
      </c>
      <c r="E1145">
        <v>2</v>
      </c>
      <c r="F1145"/>
      <c r="H1145" s="4"/>
    </row>
    <row r="1146" spans="2:8" x14ac:dyDescent="0.25">
      <c r="B1146"/>
      <c r="C1146" s="1" t="s">
        <v>53</v>
      </c>
      <c r="D1146" s="6" t="s">
        <v>63</v>
      </c>
      <c r="E1146">
        <v>1</v>
      </c>
      <c r="F1146"/>
      <c r="H1146" s="4"/>
    </row>
    <row r="1147" spans="2:8" x14ac:dyDescent="0.25">
      <c r="B1147"/>
      <c r="C1147" s="1" t="s">
        <v>54</v>
      </c>
      <c r="D1147" s="6" t="s">
        <v>70</v>
      </c>
      <c r="E1147">
        <v>15</v>
      </c>
      <c r="F1147"/>
      <c r="H1147" s="4"/>
    </row>
    <row r="1148" spans="2:8" x14ac:dyDescent="0.25">
      <c r="B1148"/>
      <c r="C1148" s="1" t="s">
        <v>51</v>
      </c>
      <c r="D1148" s="6" t="s">
        <v>68</v>
      </c>
      <c r="E1148">
        <v>1.25</v>
      </c>
      <c r="F1148"/>
      <c r="H1148" s="4"/>
    </row>
    <row r="1149" spans="2:8" x14ac:dyDescent="0.25">
      <c r="B1149"/>
      <c r="C1149" s="1" t="s">
        <v>52</v>
      </c>
      <c r="D1149" s="6" t="s">
        <v>62</v>
      </c>
      <c r="E1149">
        <v>2</v>
      </c>
      <c r="F1149"/>
      <c r="H1149" s="4"/>
    </row>
    <row r="1150" spans="2:8" x14ac:dyDescent="0.25">
      <c r="B1150"/>
      <c r="C1150" s="1" t="s">
        <v>7</v>
      </c>
      <c r="D1150" s="6" t="s">
        <v>70</v>
      </c>
      <c r="E1150">
        <v>15</v>
      </c>
      <c r="F1150"/>
      <c r="H1150" s="4"/>
    </row>
    <row r="1151" spans="2:8" x14ac:dyDescent="0.25">
      <c r="B1151"/>
      <c r="C1151" s="1" t="s">
        <v>53</v>
      </c>
      <c r="D1151" s="6" t="s">
        <v>66</v>
      </c>
      <c r="E1151">
        <v>2.2999999999999998</v>
      </c>
      <c r="F1151"/>
      <c r="H1151" s="4"/>
    </row>
    <row r="1152" spans="2:8" x14ac:dyDescent="0.25">
      <c r="B1152"/>
      <c r="C1152" s="1" t="s">
        <v>54</v>
      </c>
      <c r="D1152" s="6" t="s">
        <v>70</v>
      </c>
      <c r="E1152">
        <v>15</v>
      </c>
      <c r="F1152"/>
      <c r="H1152" s="4"/>
    </row>
    <row r="1153" spans="2:8" x14ac:dyDescent="0.25">
      <c r="B1153"/>
      <c r="C1153" s="1" t="s">
        <v>51</v>
      </c>
      <c r="D1153" s="6" t="s">
        <v>62</v>
      </c>
      <c r="E1153">
        <v>2</v>
      </c>
      <c r="F1153"/>
      <c r="H1153" s="4"/>
    </row>
    <row r="1154" spans="2:8" x14ac:dyDescent="0.25">
      <c r="B1154"/>
      <c r="C1154" s="1" t="s">
        <v>52</v>
      </c>
      <c r="D1154" s="6" t="s">
        <v>64</v>
      </c>
      <c r="E1154">
        <v>1.5</v>
      </c>
      <c r="F1154"/>
      <c r="H1154" s="4"/>
    </row>
    <row r="1155" spans="2:8" x14ac:dyDescent="0.25">
      <c r="B1155"/>
      <c r="C1155" s="1" t="s">
        <v>7</v>
      </c>
      <c r="D1155" s="6" t="s">
        <v>62</v>
      </c>
      <c r="E1155">
        <v>2</v>
      </c>
      <c r="F1155"/>
      <c r="H1155" s="4"/>
    </row>
    <row r="1156" spans="2:8" x14ac:dyDescent="0.25">
      <c r="B1156"/>
      <c r="C1156" s="1" t="s">
        <v>53</v>
      </c>
      <c r="D1156" s="6" t="s">
        <v>62</v>
      </c>
      <c r="E1156">
        <v>2</v>
      </c>
      <c r="F1156"/>
      <c r="H1156" s="4"/>
    </row>
    <row r="1157" spans="2:8" x14ac:dyDescent="0.25">
      <c r="B1157"/>
      <c r="C1157" s="1" t="s">
        <v>54</v>
      </c>
      <c r="D1157" s="6" t="s">
        <v>69</v>
      </c>
      <c r="E1157">
        <v>1</v>
      </c>
      <c r="F1157"/>
      <c r="H1157" s="4"/>
    </row>
    <row r="1158" spans="2:8" x14ac:dyDescent="0.25">
      <c r="B1158"/>
      <c r="C1158" s="1" t="s">
        <v>51</v>
      </c>
      <c r="D1158" s="6" t="s">
        <v>62</v>
      </c>
      <c r="E1158">
        <v>2</v>
      </c>
      <c r="F1158"/>
      <c r="H1158" s="4"/>
    </row>
    <row r="1159" spans="2:8" x14ac:dyDescent="0.25">
      <c r="B1159"/>
      <c r="C1159" s="1" t="s">
        <v>52</v>
      </c>
      <c r="D1159" s="6" t="s">
        <v>62</v>
      </c>
      <c r="E1159">
        <v>2</v>
      </c>
      <c r="F1159"/>
      <c r="H1159" s="4"/>
    </row>
    <row r="1160" spans="2:8" x14ac:dyDescent="0.25">
      <c r="B1160"/>
      <c r="C1160" s="1" t="s">
        <v>7</v>
      </c>
      <c r="D1160" s="6" t="s">
        <v>66</v>
      </c>
      <c r="E1160">
        <v>2.2999999999999998</v>
      </c>
      <c r="F1160"/>
      <c r="H1160" s="4"/>
    </row>
    <row r="1161" spans="2:8" x14ac:dyDescent="0.25">
      <c r="B1161"/>
      <c r="C1161" s="1" t="s">
        <v>53</v>
      </c>
      <c r="D1161" s="6" t="s">
        <v>62</v>
      </c>
      <c r="E1161">
        <v>2</v>
      </c>
      <c r="F1161"/>
      <c r="H1161" s="4"/>
    </row>
    <row r="1162" spans="2:8" x14ac:dyDescent="0.25">
      <c r="B1162"/>
      <c r="C1162" s="1" t="s">
        <v>54</v>
      </c>
      <c r="D1162" s="6" t="s">
        <v>64</v>
      </c>
      <c r="E1162">
        <v>1.5</v>
      </c>
      <c r="F1162"/>
      <c r="H1162" s="4"/>
    </row>
    <row r="1163" spans="2:8" x14ac:dyDescent="0.25">
      <c r="B1163"/>
      <c r="C1163" s="1" t="s">
        <v>51</v>
      </c>
      <c r="D1163" s="6" t="s">
        <v>64</v>
      </c>
      <c r="E1163">
        <v>1.5</v>
      </c>
      <c r="F1163"/>
      <c r="H1163" s="4"/>
    </row>
    <row r="1164" spans="2:8" x14ac:dyDescent="0.25">
      <c r="B1164"/>
      <c r="C1164" s="1" t="s">
        <v>52</v>
      </c>
      <c r="D1164" s="6" t="s">
        <v>66</v>
      </c>
      <c r="E1164">
        <v>2.2999999999999998</v>
      </c>
      <c r="F1164"/>
      <c r="H1164" s="4"/>
    </row>
    <row r="1165" spans="2:8" x14ac:dyDescent="0.25">
      <c r="B1165"/>
      <c r="C1165" s="1" t="s">
        <v>7</v>
      </c>
      <c r="D1165" s="6" t="s">
        <v>62</v>
      </c>
      <c r="E1165">
        <v>2</v>
      </c>
      <c r="F1165"/>
      <c r="H1165" s="4"/>
    </row>
    <row r="1166" spans="2:8" x14ac:dyDescent="0.25">
      <c r="B1166"/>
      <c r="C1166" s="1" t="s">
        <v>53</v>
      </c>
      <c r="D1166" s="6" t="s">
        <v>62</v>
      </c>
      <c r="E1166">
        <v>2</v>
      </c>
      <c r="F1166"/>
      <c r="H1166" s="4"/>
    </row>
    <row r="1167" spans="2:8" x14ac:dyDescent="0.25">
      <c r="B1167"/>
      <c r="C1167" s="1" t="s">
        <v>54</v>
      </c>
      <c r="D1167" s="6" t="s">
        <v>64</v>
      </c>
      <c r="E1167">
        <v>1.5</v>
      </c>
      <c r="F1167"/>
      <c r="H1167" s="4"/>
    </row>
    <row r="1168" spans="2:8" x14ac:dyDescent="0.25">
      <c r="B1168"/>
      <c r="C1168" s="1" t="s">
        <v>51</v>
      </c>
      <c r="D1168" s="6" t="s">
        <v>62</v>
      </c>
      <c r="E1168">
        <v>2</v>
      </c>
      <c r="F1168"/>
      <c r="H1168" s="4"/>
    </row>
    <row r="1169" spans="2:8" x14ac:dyDescent="0.25">
      <c r="B1169"/>
      <c r="C1169" s="1" t="s">
        <v>52</v>
      </c>
      <c r="D1169" s="6" t="s">
        <v>63</v>
      </c>
      <c r="E1169">
        <v>1</v>
      </c>
      <c r="F1169"/>
      <c r="H1169" s="4"/>
    </row>
    <row r="1170" spans="2:8" x14ac:dyDescent="0.25">
      <c r="B1170"/>
      <c r="C1170" s="1" t="s">
        <v>7</v>
      </c>
      <c r="D1170" s="6" t="s">
        <v>62</v>
      </c>
      <c r="E1170">
        <v>2</v>
      </c>
      <c r="F1170"/>
      <c r="H1170" s="4"/>
    </row>
    <row r="1171" spans="2:8" x14ac:dyDescent="0.25">
      <c r="B1171"/>
      <c r="C1171" s="1" t="s">
        <v>53</v>
      </c>
      <c r="D1171" s="6" t="s">
        <v>62</v>
      </c>
      <c r="E1171">
        <v>2</v>
      </c>
      <c r="F1171"/>
      <c r="H1171" s="4"/>
    </row>
    <row r="1172" spans="2:8" x14ac:dyDescent="0.25">
      <c r="B1172"/>
      <c r="C1172" s="1" t="s">
        <v>54</v>
      </c>
      <c r="D1172" s="6" t="s">
        <v>72</v>
      </c>
      <c r="E1172">
        <v>0.5</v>
      </c>
      <c r="F1172"/>
      <c r="H1172" s="4"/>
    </row>
    <row r="1173" spans="2:8" x14ac:dyDescent="0.25">
      <c r="B1173"/>
      <c r="C1173" s="1" t="s">
        <v>51</v>
      </c>
      <c r="D1173" s="6" t="s">
        <v>62</v>
      </c>
      <c r="E1173">
        <v>2</v>
      </c>
      <c r="F1173"/>
      <c r="H1173" s="4"/>
    </row>
    <row r="1174" spans="2:8" x14ac:dyDescent="0.25">
      <c r="B1174"/>
      <c r="C1174" s="1" t="s">
        <v>52</v>
      </c>
      <c r="D1174" s="6" t="s">
        <v>62</v>
      </c>
      <c r="E1174">
        <v>2</v>
      </c>
      <c r="F1174"/>
      <c r="H1174" s="4"/>
    </row>
    <row r="1175" spans="2:8" x14ac:dyDescent="0.25">
      <c r="B1175"/>
      <c r="C1175" s="1" t="s">
        <v>7</v>
      </c>
      <c r="D1175" s="6" t="s">
        <v>62</v>
      </c>
      <c r="E1175">
        <v>2</v>
      </c>
      <c r="F1175"/>
      <c r="H1175" s="4"/>
    </row>
    <row r="1176" spans="2:8" x14ac:dyDescent="0.25">
      <c r="B1176"/>
      <c r="C1176" s="1" t="s">
        <v>53</v>
      </c>
      <c r="D1176" s="6" t="s">
        <v>66</v>
      </c>
      <c r="E1176">
        <v>2.2999999999999998</v>
      </c>
      <c r="F1176"/>
      <c r="H1176" s="4"/>
    </row>
    <row r="1177" spans="2:8" x14ac:dyDescent="0.25">
      <c r="B1177"/>
      <c r="C1177" s="1" t="s">
        <v>54</v>
      </c>
      <c r="D1177" s="6" t="s">
        <v>62</v>
      </c>
      <c r="E1177">
        <v>2</v>
      </c>
      <c r="F1177"/>
      <c r="H1177" s="4"/>
    </row>
    <row r="1178" spans="2:8" x14ac:dyDescent="0.25">
      <c r="B1178"/>
      <c r="C1178" s="1" t="s">
        <v>51</v>
      </c>
      <c r="D1178" s="6" t="s">
        <v>62</v>
      </c>
      <c r="E1178">
        <v>2</v>
      </c>
      <c r="F1178"/>
      <c r="H1178" s="4"/>
    </row>
    <row r="1179" spans="2:8" x14ac:dyDescent="0.25">
      <c r="B1179"/>
      <c r="C1179" s="1" t="s">
        <v>52</v>
      </c>
      <c r="D1179" s="6" t="s">
        <v>62</v>
      </c>
      <c r="E1179">
        <v>2</v>
      </c>
      <c r="F1179"/>
      <c r="H1179" s="4"/>
    </row>
    <row r="1180" spans="2:8" x14ac:dyDescent="0.25">
      <c r="B1180"/>
      <c r="C1180" s="1" t="s">
        <v>7</v>
      </c>
      <c r="D1180" s="6" t="s">
        <v>62</v>
      </c>
      <c r="E1180">
        <v>2</v>
      </c>
      <c r="F1180"/>
      <c r="H1180" s="4"/>
    </row>
    <row r="1181" spans="2:8" x14ac:dyDescent="0.25">
      <c r="B1181"/>
      <c r="C1181" s="1" t="s">
        <v>53</v>
      </c>
      <c r="D1181" s="6" t="s">
        <v>62</v>
      </c>
      <c r="E1181">
        <v>2</v>
      </c>
      <c r="F1181"/>
      <c r="H1181" s="4"/>
    </row>
    <row r="1182" spans="2:8" x14ac:dyDescent="0.25">
      <c r="B1182"/>
      <c r="C1182" s="1" t="s">
        <v>54</v>
      </c>
      <c r="D1182" s="6" t="s">
        <v>62</v>
      </c>
      <c r="E1182">
        <v>2</v>
      </c>
      <c r="F1182"/>
      <c r="H1182" s="4"/>
    </row>
    <row r="1183" spans="2:8" x14ac:dyDescent="0.25">
      <c r="B1183"/>
      <c r="C1183" s="1" t="s">
        <v>51</v>
      </c>
      <c r="D1183" s="6" t="s">
        <v>69</v>
      </c>
      <c r="E1183">
        <v>1</v>
      </c>
      <c r="F1183"/>
      <c r="H1183" s="4"/>
    </row>
    <row r="1184" spans="2:8" x14ac:dyDescent="0.25">
      <c r="B1184"/>
      <c r="C1184" s="1" t="s">
        <v>52</v>
      </c>
      <c r="D1184" s="6" t="s">
        <v>69</v>
      </c>
      <c r="E1184">
        <v>1</v>
      </c>
      <c r="F1184"/>
      <c r="H1184" s="4"/>
    </row>
    <row r="1185" spans="2:8" x14ac:dyDescent="0.25">
      <c r="B1185"/>
      <c r="C1185" s="1" t="s">
        <v>7</v>
      </c>
      <c r="D1185" s="6" t="s">
        <v>94</v>
      </c>
      <c r="E1185">
        <v>4.5</v>
      </c>
      <c r="F1185"/>
      <c r="H1185" s="4"/>
    </row>
    <row r="1186" spans="2:8" x14ac:dyDescent="0.25">
      <c r="B1186"/>
      <c r="C1186" s="1" t="s">
        <v>53</v>
      </c>
      <c r="D1186" s="6" t="s">
        <v>65</v>
      </c>
      <c r="E1186">
        <v>2</v>
      </c>
      <c r="F1186"/>
      <c r="H1186" s="4"/>
    </row>
    <row r="1187" spans="2:8" x14ac:dyDescent="0.25">
      <c r="B1187"/>
      <c r="C1187" s="1" t="s">
        <v>54</v>
      </c>
      <c r="D1187" s="6" t="s">
        <v>62</v>
      </c>
      <c r="E1187">
        <v>2</v>
      </c>
      <c r="F1187"/>
      <c r="H1187" s="4"/>
    </row>
    <row r="1188" spans="2:8" x14ac:dyDescent="0.25">
      <c r="B1188"/>
      <c r="C1188" s="1" t="s">
        <v>51</v>
      </c>
      <c r="D1188" s="6" t="s">
        <v>64</v>
      </c>
      <c r="E1188">
        <v>1.5</v>
      </c>
      <c r="F1188"/>
      <c r="H1188" s="4"/>
    </row>
    <row r="1189" spans="2:8" x14ac:dyDescent="0.25">
      <c r="B1189"/>
      <c r="C1189" s="1" t="s">
        <v>52</v>
      </c>
      <c r="D1189" s="6" t="s">
        <v>62</v>
      </c>
      <c r="E1189">
        <v>2</v>
      </c>
      <c r="F1189"/>
      <c r="H1189" s="4"/>
    </row>
    <row r="1190" spans="2:8" x14ac:dyDescent="0.25">
      <c r="B1190"/>
      <c r="C1190" s="1" t="s">
        <v>7</v>
      </c>
      <c r="D1190" s="6" t="s">
        <v>64</v>
      </c>
      <c r="E1190">
        <v>1.5</v>
      </c>
      <c r="F1190"/>
      <c r="H1190" s="4"/>
    </row>
    <row r="1191" spans="2:8" x14ac:dyDescent="0.25">
      <c r="B1191"/>
      <c r="C1191" s="1" t="s">
        <v>53</v>
      </c>
      <c r="D1191" s="6" t="s">
        <v>62</v>
      </c>
      <c r="E1191">
        <v>2</v>
      </c>
      <c r="F1191"/>
      <c r="H1191" s="4"/>
    </row>
    <row r="1192" spans="2:8" x14ac:dyDescent="0.25">
      <c r="B1192"/>
      <c r="C1192" s="1" t="s">
        <v>54</v>
      </c>
      <c r="D1192" s="6" t="s">
        <v>62</v>
      </c>
      <c r="E1192">
        <v>2</v>
      </c>
      <c r="F1192"/>
      <c r="H1192" s="4"/>
    </row>
    <row r="1193" spans="2:8" x14ac:dyDescent="0.25">
      <c r="B1193"/>
      <c r="C1193" s="1" t="s">
        <v>51</v>
      </c>
      <c r="D1193" s="6" t="s">
        <v>62</v>
      </c>
      <c r="E1193">
        <v>2</v>
      </c>
      <c r="F1193"/>
      <c r="H1193" s="4"/>
    </row>
    <row r="1194" spans="2:8" x14ac:dyDescent="0.25">
      <c r="B1194"/>
      <c r="C1194" s="1" t="s">
        <v>52</v>
      </c>
      <c r="D1194" s="6" t="s">
        <v>74</v>
      </c>
      <c r="E1194">
        <v>4</v>
      </c>
      <c r="F1194"/>
      <c r="H1194" s="4"/>
    </row>
    <row r="1195" spans="2:8" x14ac:dyDescent="0.25">
      <c r="B1195"/>
      <c r="C1195" s="1" t="s">
        <v>7</v>
      </c>
      <c r="D1195" s="6" t="s">
        <v>62</v>
      </c>
      <c r="E1195">
        <v>2</v>
      </c>
      <c r="F1195"/>
      <c r="H1195" s="4"/>
    </row>
    <row r="1196" spans="2:8" x14ac:dyDescent="0.25">
      <c r="B1196"/>
      <c r="C1196" s="1" t="s">
        <v>53</v>
      </c>
      <c r="D1196" s="6" t="s">
        <v>65</v>
      </c>
      <c r="E1196">
        <v>2</v>
      </c>
      <c r="F1196"/>
      <c r="H1196" s="4"/>
    </row>
    <row r="1197" spans="2:8" x14ac:dyDescent="0.25">
      <c r="B1197"/>
      <c r="C1197" s="1" t="s">
        <v>54</v>
      </c>
      <c r="D1197" s="6" t="s">
        <v>66</v>
      </c>
      <c r="E1197">
        <v>2.2999999999999998</v>
      </c>
      <c r="F1197"/>
      <c r="H1197" s="4"/>
    </row>
    <row r="1198" spans="2:8" x14ac:dyDescent="0.25">
      <c r="B1198"/>
      <c r="C1198" s="1" t="s">
        <v>51</v>
      </c>
      <c r="D1198" s="6" t="s">
        <v>64</v>
      </c>
      <c r="E1198">
        <v>1.5</v>
      </c>
      <c r="F1198"/>
      <c r="H1198" s="4"/>
    </row>
    <row r="1199" spans="2:8" x14ac:dyDescent="0.25">
      <c r="B1199"/>
      <c r="C1199" s="1" t="s">
        <v>52</v>
      </c>
      <c r="D1199" s="6" t="s">
        <v>62</v>
      </c>
      <c r="E1199">
        <v>2</v>
      </c>
      <c r="F1199"/>
      <c r="H1199" s="4"/>
    </row>
    <row r="1200" spans="2:8" x14ac:dyDescent="0.25">
      <c r="B1200"/>
      <c r="C1200" s="1" t="s">
        <v>7</v>
      </c>
      <c r="D1200" s="6" t="s">
        <v>62</v>
      </c>
      <c r="E1200">
        <v>2</v>
      </c>
      <c r="F1200"/>
      <c r="H1200" s="4"/>
    </row>
    <row r="1201" spans="2:8" x14ac:dyDescent="0.25">
      <c r="B1201"/>
      <c r="C1201" s="1" t="s">
        <v>53</v>
      </c>
      <c r="D1201" s="6" t="s">
        <v>71</v>
      </c>
      <c r="E1201">
        <v>2.5</v>
      </c>
      <c r="F1201"/>
      <c r="H1201" s="4"/>
    </row>
    <row r="1202" spans="2:8" x14ac:dyDescent="0.25">
      <c r="B1202"/>
      <c r="C1202" s="1" t="s">
        <v>54</v>
      </c>
      <c r="D1202" s="6" t="s">
        <v>67</v>
      </c>
      <c r="E1202">
        <v>3</v>
      </c>
      <c r="F1202"/>
      <c r="H1202" s="4"/>
    </row>
    <row r="1203" spans="2:8" x14ac:dyDescent="0.25">
      <c r="B1203"/>
      <c r="C1203" s="1" t="s">
        <v>51</v>
      </c>
      <c r="D1203" s="6" t="s">
        <v>63</v>
      </c>
      <c r="E1203">
        <v>1</v>
      </c>
      <c r="F1203"/>
      <c r="H1203" s="4"/>
    </row>
    <row r="1204" spans="2:8" x14ac:dyDescent="0.25">
      <c r="B1204"/>
      <c r="C1204" s="1" t="s">
        <v>52</v>
      </c>
      <c r="D1204" s="6" t="s">
        <v>69</v>
      </c>
      <c r="E1204">
        <v>1</v>
      </c>
      <c r="F1204"/>
      <c r="H1204" s="4"/>
    </row>
    <row r="1205" spans="2:8" x14ac:dyDescent="0.25">
      <c r="B1205"/>
      <c r="C1205" s="1" t="s">
        <v>7</v>
      </c>
      <c r="D1205" s="6" t="s">
        <v>62</v>
      </c>
      <c r="E1205">
        <v>2</v>
      </c>
      <c r="F1205"/>
      <c r="H1205" s="4"/>
    </row>
    <row r="1206" spans="2:8" x14ac:dyDescent="0.25">
      <c r="B1206"/>
      <c r="C1206" s="1" t="s">
        <v>53</v>
      </c>
      <c r="D1206" s="6" t="s">
        <v>62</v>
      </c>
      <c r="E1206">
        <v>2</v>
      </c>
      <c r="F1206"/>
      <c r="H1206" s="4"/>
    </row>
    <row r="1207" spans="2:8" x14ac:dyDescent="0.25">
      <c r="B1207"/>
      <c r="C1207" s="1" t="s">
        <v>54</v>
      </c>
      <c r="D1207" s="6" t="s">
        <v>66</v>
      </c>
      <c r="E1207">
        <v>2.2999999999999998</v>
      </c>
      <c r="F1207"/>
      <c r="H1207" s="4"/>
    </row>
    <row r="1208" spans="2:8" x14ac:dyDescent="0.25">
      <c r="B1208"/>
      <c r="C1208" s="1" t="s">
        <v>51</v>
      </c>
      <c r="D1208" s="6" t="s">
        <v>64</v>
      </c>
      <c r="E1208">
        <v>1.5</v>
      </c>
      <c r="F1208"/>
      <c r="H1208" s="4"/>
    </row>
    <row r="1209" spans="2:8" x14ac:dyDescent="0.25">
      <c r="B1209"/>
      <c r="C1209" s="1" t="s">
        <v>52</v>
      </c>
      <c r="D1209" s="6" t="s">
        <v>62</v>
      </c>
      <c r="E1209">
        <v>2</v>
      </c>
      <c r="F1209"/>
      <c r="H1209" s="4"/>
    </row>
    <row r="1210" spans="2:8" x14ac:dyDescent="0.25">
      <c r="B1210"/>
      <c r="C1210" s="1" t="s">
        <v>7</v>
      </c>
      <c r="D1210" s="6" t="s">
        <v>69</v>
      </c>
      <c r="E1210">
        <v>1</v>
      </c>
      <c r="F1210"/>
      <c r="H1210" s="4"/>
    </row>
    <row r="1211" spans="2:8" x14ac:dyDescent="0.25">
      <c r="B1211"/>
      <c r="C1211" s="1" t="s">
        <v>53</v>
      </c>
      <c r="D1211" s="6" t="s">
        <v>62</v>
      </c>
      <c r="E1211">
        <v>2</v>
      </c>
      <c r="F1211"/>
      <c r="H1211" s="4"/>
    </row>
    <row r="1212" spans="2:8" x14ac:dyDescent="0.25">
      <c r="B1212"/>
      <c r="C1212" s="1" t="s">
        <v>54</v>
      </c>
      <c r="D1212" s="6" t="s">
        <v>62</v>
      </c>
      <c r="E1212">
        <v>2</v>
      </c>
      <c r="F1212"/>
      <c r="H1212" s="4"/>
    </row>
    <row r="1213" spans="2:8" x14ac:dyDescent="0.25">
      <c r="B1213"/>
      <c r="C1213" s="1" t="s">
        <v>51</v>
      </c>
      <c r="D1213" s="6" t="s">
        <v>68</v>
      </c>
      <c r="E1213">
        <v>1.25</v>
      </c>
      <c r="F1213"/>
      <c r="H1213" s="4"/>
    </row>
    <row r="1214" spans="2:8" x14ac:dyDescent="0.25">
      <c r="B1214"/>
      <c r="C1214" s="1" t="s">
        <v>52</v>
      </c>
      <c r="D1214" s="6" t="s">
        <v>62</v>
      </c>
      <c r="E1214">
        <v>2</v>
      </c>
      <c r="F1214"/>
      <c r="H1214" s="4"/>
    </row>
    <row r="1215" spans="2:8" x14ac:dyDescent="0.25">
      <c r="B1215"/>
      <c r="C1215" s="1" t="s">
        <v>7</v>
      </c>
      <c r="D1215" s="6" t="s">
        <v>64</v>
      </c>
      <c r="E1215">
        <v>1.5</v>
      </c>
      <c r="F1215"/>
      <c r="H1215" s="4"/>
    </row>
    <row r="1216" spans="2:8" x14ac:dyDescent="0.25">
      <c r="B1216"/>
      <c r="C1216" s="1" t="s">
        <v>53</v>
      </c>
      <c r="D1216" s="6" t="s">
        <v>95</v>
      </c>
      <c r="E1216">
        <v>4.8000000000000001E-2</v>
      </c>
      <c r="F1216"/>
      <c r="H1216" s="4"/>
    </row>
    <row r="1217" spans="2:8" x14ac:dyDescent="0.25">
      <c r="B1217"/>
      <c r="C1217" s="1" t="s">
        <v>54</v>
      </c>
      <c r="D1217" s="6" t="s">
        <v>69</v>
      </c>
      <c r="E1217">
        <v>1</v>
      </c>
      <c r="F1217"/>
      <c r="H1217" s="4"/>
    </row>
    <row r="1218" spans="2:8" x14ac:dyDescent="0.25">
      <c r="B1218"/>
      <c r="C1218" s="1" t="s">
        <v>51</v>
      </c>
      <c r="D1218" s="6" t="s">
        <v>62</v>
      </c>
      <c r="E1218">
        <v>2</v>
      </c>
      <c r="F1218"/>
      <c r="H1218" s="4"/>
    </row>
    <row r="1219" spans="2:8" x14ac:dyDescent="0.25">
      <c r="B1219"/>
      <c r="C1219" s="1" t="s">
        <v>52</v>
      </c>
      <c r="D1219" s="6" t="s">
        <v>62</v>
      </c>
      <c r="E1219">
        <v>2</v>
      </c>
      <c r="F1219"/>
      <c r="H1219" s="4"/>
    </row>
    <row r="1220" spans="2:8" x14ac:dyDescent="0.25">
      <c r="B1220"/>
      <c r="C1220" s="1" t="s">
        <v>7</v>
      </c>
      <c r="D1220" s="6" t="s">
        <v>69</v>
      </c>
      <c r="E1220">
        <v>1</v>
      </c>
      <c r="F1220"/>
      <c r="H1220" s="4"/>
    </row>
    <row r="1221" spans="2:8" x14ac:dyDescent="0.25">
      <c r="B1221"/>
      <c r="C1221" s="1" t="s">
        <v>53</v>
      </c>
      <c r="D1221" s="6" t="s">
        <v>62</v>
      </c>
      <c r="E1221">
        <v>2</v>
      </c>
      <c r="F1221"/>
      <c r="H1221" s="4"/>
    </row>
    <row r="1222" spans="2:8" x14ac:dyDescent="0.25">
      <c r="B1222"/>
      <c r="C1222" s="1" t="s">
        <v>54</v>
      </c>
      <c r="D1222" s="6" t="s">
        <v>62</v>
      </c>
      <c r="E1222">
        <v>2</v>
      </c>
      <c r="F1222"/>
      <c r="H1222" s="4"/>
    </row>
    <row r="1223" spans="2:8" x14ac:dyDescent="0.25">
      <c r="B1223"/>
      <c r="C1223" s="1" t="s">
        <v>51</v>
      </c>
      <c r="D1223" s="6" t="s">
        <v>64</v>
      </c>
      <c r="E1223">
        <v>1.5</v>
      </c>
      <c r="F1223"/>
      <c r="H1223" s="4"/>
    </row>
    <row r="1224" spans="2:8" x14ac:dyDescent="0.25">
      <c r="B1224"/>
      <c r="C1224" s="1" t="s">
        <v>52</v>
      </c>
      <c r="D1224" s="6" t="s">
        <v>64</v>
      </c>
      <c r="E1224">
        <v>1.5</v>
      </c>
      <c r="F1224"/>
      <c r="H1224" s="4"/>
    </row>
    <row r="1225" spans="2:8" x14ac:dyDescent="0.25">
      <c r="B1225"/>
      <c r="C1225" s="1" t="s">
        <v>7</v>
      </c>
      <c r="D1225" s="6" t="s">
        <v>62</v>
      </c>
      <c r="E1225">
        <v>2</v>
      </c>
      <c r="F1225"/>
      <c r="H1225" s="4"/>
    </row>
    <row r="1226" spans="2:8" x14ac:dyDescent="0.25">
      <c r="B1226"/>
      <c r="C1226" s="1" t="s">
        <v>53</v>
      </c>
      <c r="D1226" s="6" t="s">
        <v>62</v>
      </c>
      <c r="E1226">
        <v>2</v>
      </c>
      <c r="F1226"/>
      <c r="H1226" s="4"/>
    </row>
    <row r="1227" spans="2:8" x14ac:dyDescent="0.25">
      <c r="B1227"/>
      <c r="C1227" s="1" t="s">
        <v>54</v>
      </c>
      <c r="D1227" s="6" t="s">
        <v>64</v>
      </c>
      <c r="E1227">
        <v>1.5</v>
      </c>
      <c r="F1227"/>
      <c r="H1227" s="4"/>
    </row>
    <row r="1228" spans="2:8" x14ac:dyDescent="0.25">
      <c r="B1228"/>
      <c r="C1228" s="1" t="s">
        <v>51</v>
      </c>
      <c r="D1228" s="6" t="s">
        <v>62</v>
      </c>
      <c r="E1228">
        <v>2</v>
      </c>
      <c r="F1228"/>
      <c r="H1228" s="4"/>
    </row>
    <row r="1229" spans="2:8" x14ac:dyDescent="0.25">
      <c r="B1229"/>
      <c r="C1229" s="1" t="s">
        <v>52</v>
      </c>
      <c r="D1229" s="6" t="s">
        <v>62</v>
      </c>
      <c r="E1229">
        <v>2</v>
      </c>
      <c r="F1229"/>
      <c r="H1229" s="4"/>
    </row>
    <row r="1230" spans="2:8" x14ac:dyDescent="0.25">
      <c r="B1230"/>
      <c r="C1230" s="1" t="s">
        <v>7</v>
      </c>
      <c r="D1230" s="6" t="s">
        <v>64</v>
      </c>
      <c r="E1230">
        <v>1.5</v>
      </c>
      <c r="F1230"/>
      <c r="H1230" s="4"/>
    </row>
    <row r="1231" spans="2:8" x14ac:dyDescent="0.25">
      <c r="B1231"/>
      <c r="C1231" s="1" t="s">
        <v>53</v>
      </c>
      <c r="D1231" s="6" t="s">
        <v>62</v>
      </c>
      <c r="E1231">
        <v>2</v>
      </c>
      <c r="F1231"/>
      <c r="H1231" s="4"/>
    </row>
    <row r="1232" spans="2:8" x14ac:dyDescent="0.25">
      <c r="B1232"/>
      <c r="C1232" s="1" t="s">
        <v>54</v>
      </c>
      <c r="D1232" s="6" t="s">
        <v>62</v>
      </c>
      <c r="E1232">
        <v>2</v>
      </c>
      <c r="F1232"/>
      <c r="H1232" s="4"/>
    </row>
    <row r="1233" spans="2:8" x14ac:dyDescent="0.25">
      <c r="B1233"/>
      <c r="C1233" s="1" t="s">
        <v>51</v>
      </c>
      <c r="D1233" s="6" t="s">
        <v>62</v>
      </c>
      <c r="E1233">
        <v>2</v>
      </c>
      <c r="F1233"/>
      <c r="H1233" s="4"/>
    </row>
    <row r="1234" spans="2:8" x14ac:dyDescent="0.25">
      <c r="B1234"/>
      <c r="C1234" s="1" t="s">
        <v>52</v>
      </c>
      <c r="D1234" s="6" t="s">
        <v>66</v>
      </c>
      <c r="E1234">
        <v>2.2999999999999998</v>
      </c>
      <c r="F1234"/>
      <c r="H1234" s="4"/>
    </row>
    <row r="1235" spans="2:8" x14ac:dyDescent="0.25">
      <c r="B1235"/>
      <c r="C1235" s="1" t="s">
        <v>7</v>
      </c>
      <c r="D1235" s="6" t="s">
        <v>66</v>
      </c>
      <c r="E1235">
        <v>2.2999999999999998</v>
      </c>
      <c r="F1235"/>
      <c r="H1235" s="4"/>
    </row>
    <row r="1236" spans="2:8" x14ac:dyDescent="0.25">
      <c r="B1236"/>
      <c r="C1236" s="1" t="s">
        <v>53</v>
      </c>
      <c r="D1236" s="6" t="s">
        <v>62</v>
      </c>
      <c r="E1236">
        <v>2</v>
      </c>
      <c r="F1236"/>
      <c r="H1236" s="4"/>
    </row>
    <row r="1237" spans="2:8" x14ac:dyDescent="0.25">
      <c r="B1237"/>
      <c r="C1237" s="1" t="s">
        <v>54</v>
      </c>
      <c r="D1237" s="6" t="s">
        <v>73</v>
      </c>
      <c r="E1237">
        <v>0.5</v>
      </c>
      <c r="F1237"/>
      <c r="H1237" s="4"/>
    </row>
    <row r="1238" spans="2:8" x14ac:dyDescent="0.25">
      <c r="B1238"/>
      <c r="C1238" s="1" t="s">
        <v>51</v>
      </c>
      <c r="D1238" s="6" t="s">
        <v>69</v>
      </c>
      <c r="E1238">
        <v>1</v>
      </c>
      <c r="F1238"/>
      <c r="H1238" s="4"/>
    </row>
    <row r="1239" spans="2:8" x14ac:dyDescent="0.25">
      <c r="B1239"/>
      <c r="C1239" s="1" t="s">
        <v>52</v>
      </c>
      <c r="D1239" s="6" t="s">
        <v>64</v>
      </c>
      <c r="E1239">
        <v>1.5</v>
      </c>
      <c r="F1239"/>
      <c r="H1239" s="4"/>
    </row>
    <row r="1240" spans="2:8" x14ac:dyDescent="0.25">
      <c r="B1240"/>
      <c r="C1240" s="1" t="s">
        <v>7</v>
      </c>
      <c r="D1240" s="6" t="s">
        <v>63</v>
      </c>
      <c r="E1240">
        <v>1</v>
      </c>
      <c r="F1240"/>
      <c r="H1240" s="4"/>
    </row>
    <row r="1241" spans="2:8" x14ac:dyDescent="0.25">
      <c r="B1241"/>
      <c r="C1241" s="1" t="s">
        <v>53</v>
      </c>
      <c r="D1241" s="6" t="s">
        <v>66</v>
      </c>
      <c r="E1241">
        <v>2.2999999999999998</v>
      </c>
      <c r="F1241"/>
      <c r="H1241" s="4"/>
    </row>
    <row r="1242" spans="2:8" x14ac:dyDescent="0.25">
      <c r="B1242"/>
      <c r="C1242" s="1" t="s">
        <v>54</v>
      </c>
      <c r="D1242" s="6" t="s">
        <v>62</v>
      </c>
      <c r="E1242">
        <v>2</v>
      </c>
      <c r="F1242"/>
      <c r="H1242" s="4"/>
    </row>
    <row r="1243" spans="2:8" x14ac:dyDescent="0.25">
      <c r="B1243"/>
      <c r="C1243" s="1" t="s">
        <v>51</v>
      </c>
      <c r="D1243" s="6" t="s">
        <v>62</v>
      </c>
      <c r="E1243">
        <v>2</v>
      </c>
      <c r="F1243"/>
      <c r="H1243" s="4"/>
    </row>
    <row r="1244" spans="2:8" x14ac:dyDescent="0.25">
      <c r="B1244"/>
      <c r="C1244" s="1" t="s">
        <v>52</v>
      </c>
      <c r="D1244" s="6" t="s">
        <v>69</v>
      </c>
      <c r="E1244">
        <v>1</v>
      </c>
      <c r="F1244"/>
      <c r="H1244" s="4"/>
    </row>
    <row r="1245" spans="2:8" x14ac:dyDescent="0.25">
      <c r="B1245"/>
      <c r="C1245" s="1" t="s">
        <v>7</v>
      </c>
      <c r="D1245" s="6" t="s">
        <v>64</v>
      </c>
      <c r="E1245">
        <v>1.5</v>
      </c>
      <c r="F1245"/>
      <c r="H1245" s="4"/>
    </row>
    <row r="1246" spans="2:8" x14ac:dyDescent="0.25">
      <c r="B1246"/>
      <c r="C1246" s="1" t="s">
        <v>53</v>
      </c>
      <c r="D1246" s="6" t="s">
        <v>62</v>
      </c>
      <c r="E1246">
        <v>2</v>
      </c>
      <c r="F1246"/>
      <c r="H1246" s="4"/>
    </row>
    <row r="1247" spans="2:8" x14ac:dyDescent="0.25">
      <c r="B1247"/>
      <c r="C1247" s="1" t="s">
        <v>54</v>
      </c>
      <c r="D1247" s="6" t="s">
        <v>62</v>
      </c>
      <c r="E1247">
        <v>2</v>
      </c>
      <c r="F1247"/>
      <c r="H1247" s="4"/>
    </row>
    <row r="1248" spans="2:8" x14ac:dyDescent="0.25">
      <c r="B1248"/>
      <c r="C1248" s="1" t="s">
        <v>51</v>
      </c>
      <c r="D1248" s="6" t="s">
        <v>62</v>
      </c>
      <c r="E1248">
        <v>2</v>
      </c>
      <c r="F1248"/>
      <c r="H1248" s="4"/>
    </row>
    <row r="1249" spans="2:8" x14ac:dyDescent="0.25">
      <c r="B1249"/>
      <c r="C1249" s="1" t="s">
        <v>52</v>
      </c>
      <c r="D1249" s="6" t="s">
        <v>66</v>
      </c>
      <c r="E1249">
        <v>2.2999999999999998</v>
      </c>
      <c r="F1249"/>
      <c r="H1249" s="4"/>
    </row>
    <row r="1250" spans="2:8" x14ac:dyDescent="0.25">
      <c r="B1250"/>
      <c r="C1250" s="1" t="s">
        <v>7</v>
      </c>
      <c r="D1250" s="6" t="s">
        <v>64</v>
      </c>
      <c r="E1250">
        <v>1.5</v>
      </c>
      <c r="F1250"/>
      <c r="H1250" s="4"/>
    </row>
    <row r="1251" spans="2:8" x14ac:dyDescent="0.25">
      <c r="B1251"/>
      <c r="C1251" s="1" t="s">
        <v>53</v>
      </c>
      <c r="D1251" s="6" t="s">
        <v>66</v>
      </c>
      <c r="E1251">
        <v>2.2999999999999998</v>
      </c>
      <c r="F1251"/>
      <c r="H1251" s="4"/>
    </row>
    <row r="1252" spans="2:8" x14ac:dyDescent="0.25">
      <c r="B1252"/>
      <c r="C1252" s="1" t="s">
        <v>54</v>
      </c>
      <c r="D1252" s="6" t="s">
        <v>64</v>
      </c>
      <c r="E1252">
        <v>1.5</v>
      </c>
      <c r="F1252"/>
      <c r="H1252" s="4"/>
    </row>
    <row r="1253" spans="2:8" x14ac:dyDescent="0.25">
      <c r="B1253"/>
      <c r="C1253" s="1" t="s">
        <v>51</v>
      </c>
      <c r="D1253" s="6" t="s">
        <v>69</v>
      </c>
      <c r="E1253">
        <v>1</v>
      </c>
      <c r="F1253"/>
      <c r="H1253" s="4"/>
    </row>
    <row r="1254" spans="2:8" x14ac:dyDescent="0.25">
      <c r="B1254"/>
      <c r="C1254" s="1" t="s">
        <v>52</v>
      </c>
      <c r="D1254" s="6" t="s">
        <v>69</v>
      </c>
      <c r="E1254">
        <v>1</v>
      </c>
      <c r="F1254"/>
      <c r="H1254" s="4"/>
    </row>
    <row r="1255" spans="2:8" x14ac:dyDescent="0.25">
      <c r="B1255"/>
      <c r="C1255" s="1" t="s">
        <v>7</v>
      </c>
      <c r="D1255" s="6" t="s">
        <v>66</v>
      </c>
      <c r="E1255">
        <v>2.2999999999999998</v>
      </c>
      <c r="F1255"/>
      <c r="H1255" s="4"/>
    </row>
    <row r="1256" spans="2:8" x14ac:dyDescent="0.25">
      <c r="B1256"/>
      <c r="C1256" s="1" t="s">
        <v>53</v>
      </c>
      <c r="D1256" s="6" t="s">
        <v>75</v>
      </c>
      <c r="E1256">
        <v>16</v>
      </c>
      <c r="F1256"/>
      <c r="H1256" s="4"/>
    </row>
    <row r="1257" spans="2:8" x14ac:dyDescent="0.25">
      <c r="B1257"/>
      <c r="C1257" s="1" t="s">
        <v>54</v>
      </c>
      <c r="D1257" s="6" t="s">
        <v>75</v>
      </c>
      <c r="E1257">
        <v>16</v>
      </c>
      <c r="F1257"/>
      <c r="H1257" s="4"/>
    </row>
    <row r="1258" spans="2:8" x14ac:dyDescent="0.25">
      <c r="B1258"/>
      <c r="C1258" s="1" t="s">
        <v>51</v>
      </c>
      <c r="D1258" s="6" t="s">
        <v>62</v>
      </c>
      <c r="E1258">
        <v>2</v>
      </c>
      <c r="F1258"/>
      <c r="H1258" s="4"/>
    </row>
    <row r="1259" spans="2:8" x14ac:dyDescent="0.25">
      <c r="B1259"/>
      <c r="C1259" s="1" t="s">
        <v>52</v>
      </c>
      <c r="D1259" s="6" t="s">
        <v>67</v>
      </c>
      <c r="E1259">
        <v>3</v>
      </c>
      <c r="F1259"/>
      <c r="H1259" s="4"/>
    </row>
    <row r="1260" spans="2:8" x14ac:dyDescent="0.25">
      <c r="B1260"/>
      <c r="C1260" s="1" t="s">
        <v>7</v>
      </c>
      <c r="D1260" s="6" t="s">
        <v>75</v>
      </c>
      <c r="E1260">
        <v>16</v>
      </c>
      <c r="F1260"/>
      <c r="H1260" s="4"/>
    </row>
    <row r="1261" spans="2:8" x14ac:dyDescent="0.25">
      <c r="B1261"/>
      <c r="C1261" s="1" t="s">
        <v>53</v>
      </c>
      <c r="D1261" s="6" t="s">
        <v>75</v>
      </c>
      <c r="E1261">
        <v>16</v>
      </c>
      <c r="F1261"/>
      <c r="H1261" s="4"/>
    </row>
    <row r="1262" spans="2:8" x14ac:dyDescent="0.25">
      <c r="B1262"/>
      <c r="C1262" s="1" t="s">
        <v>54</v>
      </c>
      <c r="D1262" s="6" t="s">
        <v>75</v>
      </c>
      <c r="E1262">
        <v>16</v>
      </c>
      <c r="F1262"/>
      <c r="H1262" s="4"/>
    </row>
    <row r="1263" spans="2:8" x14ac:dyDescent="0.25">
      <c r="B1263"/>
      <c r="C1263" s="1" t="s">
        <v>51</v>
      </c>
      <c r="D1263" s="6" t="s">
        <v>62</v>
      </c>
      <c r="E1263">
        <v>2</v>
      </c>
      <c r="F1263"/>
      <c r="H1263" s="4"/>
    </row>
    <row r="1264" spans="2:8" x14ac:dyDescent="0.25">
      <c r="B1264"/>
      <c r="C1264" s="1" t="s">
        <v>52</v>
      </c>
      <c r="D1264" s="6" t="s">
        <v>75</v>
      </c>
      <c r="E1264">
        <v>16</v>
      </c>
      <c r="F1264"/>
      <c r="H1264" s="4"/>
    </row>
    <row r="1265" spans="2:8" x14ac:dyDescent="0.25">
      <c r="B1265"/>
      <c r="C1265" s="1" t="s">
        <v>7</v>
      </c>
      <c r="D1265" s="6" t="s">
        <v>75</v>
      </c>
      <c r="E1265">
        <v>16</v>
      </c>
      <c r="F1265"/>
      <c r="H1265" s="4"/>
    </row>
    <row r="1266" spans="2:8" x14ac:dyDescent="0.25">
      <c r="B1266"/>
      <c r="C1266" s="1" t="s">
        <v>53</v>
      </c>
      <c r="D1266" s="6" t="s">
        <v>70</v>
      </c>
      <c r="E1266">
        <v>15</v>
      </c>
      <c r="F1266"/>
      <c r="H1266" s="4"/>
    </row>
    <row r="1267" spans="2:8" x14ac:dyDescent="0.25">
      <c r="B1267"/>
      <c r="C1267" s="1" t="s">
        <v>54</v>
      </c>
      <c r="D1267" s="6" t="s">
        <v>96</v>
      </c>
      <c r="E1267">
        <v>5</v>
      </c>
      <c r="F1267"/>
      <c r="H1267" s="4"/>
    </row>
    <row r="1268" spans="2:8" x14ac:dyDescent="0.25">
      <c r="B1268"/>
      <c r="C1268" s="1" t="s">
        <v>51</v>
      </c>
      <c r="D1268" s="6" t="s">
        <v>69</v>
      </c>
      <c r="E1268">
        <v>1</v>
      </c>
      <c r="F1268"/>
      <c r="H1268" s="4"/>
    </row>
    <row r="1269" spans="2:8" x14ac:dyDescent="0.25">
      <c r="B1269"/>
      <c r="C1269" s="1" t="s">
        <v>52</v>
      </c>
      <c r="D1269" s="6" t="s">
        <v>72</v>
      </c>
      <c r="E1269">
        <v>0.5</v>
      </c>
      <c r="F1269"/>
      <c r="H1269" s="4"/>
    </row>
    <row r="1270" spans="2:8" x14ac:dyDescent="0.25">
      <c r="B1270"/>
      <c r="C1270" s="1" t="s">
        <v>7</v>
      </c>
      <c r="D1270" s="6" t="s">
        <v>62</v>
      </c>
      <c r="E1270">
        <v>2</v>
      </c>
      <c r="F1270"/>
      <c r="H1270" s="4"/>
    </row>
    <row r="1271" spans="2:8" x14ac:dyDescent="0.25">
      <c r="B1271"/>
      <c r="C1271" s="1" t="s">
        <v>53</v>
      </c>
      <c r="D1271" s="6" t="s">
        <v>77</v>
      </c>
      <c r="E1271">
        <v>21.5</v>
      </c>
      <c r="F1271"/>
      <c r="H1271" s="4"/>
    </row>
    <row r="1272" spans="2:8" x14ac:dyDescent="0.25">
      <c r="B1272"/>
      <c r="C1272" s="1" t="s">
        <v>54</v>
      </c>
      <c r="D1272" s="6" t="s">
        <v>64</v>
      </c>
      <c r="E1272">
        <v>1.5</v>
      </c>
      <c r="F1272"/>
      <c r="H1272" s="4"/>
    </row>
    <row r="1273" spans="2:8" x14ac:dyDescent="0.25">
      <c r="B1273"/>
      <c r="C1273" s="1" t="s">
        <v>51</v>
      </c>
      <c r="D1273" s="6" t="s">
        <v>62</v>
      </c>
      <c r="E1273">
        <v>2</v>
      </c>
      <c r="F1273"/>
      <c r="H1273" s="4"/>
    </row>
    <row r="1274" spans="2:8" x14ac:dyDescent="0.25">
      <c r="B1274"/>
      <c r="C1274" s="1" t="s">
        <v>52</v>
      </c>
      <c r="D1274" s="6" t="s">
        <v>66</v>
      </c>
      <c r="E1274">
        <v>2.2999999999999998</v>
      </c>
      <c r="F1274"/>
      <c r="H1274" s="4"/>
    </row>
    <row r="1275" spans="2:8" x14ac:dyDescent="0.25">
      <c r="B1275"/>
      <c r="C1275" s="1" t="s">
        <v>7</v>
      </c>
      <c r="D1275" s="6" t="s">
        <v>65</v>
      </c>
      <c r="E1275">
        <v>2</v>
      </c>
      <c r="F1275"/>
      <c r="H1275" s="4"/>
    </row>
    <row r="1276" spans="2:8" x14ac:dyDescent="0.25">
      <c r="B1276"/>
      <c r="C1276" s="1" t="s">
        <v>53</v>
      </c>
      <c r="D1276" s="6" t="s">
        <v>65</v>
      </c>
      <c r="E1276">
        <v>2</v>
      </c>
      <c r="F1276"/>
      <c r="H1276" s="4"/>
    </row>
    <row r="1277" spans="2:8" x14ac:dyDescent="0.25">
      <c r="B1277"/>
      <c r="C1277" s="1" t="s">
        <v>54</v>
      </c>
      <c r="D1277" s="6" t="s">
        <v>69</v>
      </c>
      <c r="E1277">
        <v>1</v>
      </c>
      <c r="F1277"/>
      <c r="H1277" s="4"/>
    </row>
    <row r="1278" spans="2:8" x14ac:dyDescent="0.25">
      <c r="B1278"/>
      <c r="C1278" s="1" t="s">
        <v>51</v>
      </c>
      <c r="D1278" s="6" t="s">
        <v>62</v>
      </c>
      <c r="E1278">
        <v>2</v>
      </c>
      <c r="F1278"/>
      <c r="H1278" s="4"/>
    </row>
    <row r="1279" spans="2:8" x14ac:dyDescent="0.25">
      <c r="B1279"/>
      <c r="C1279" s="1" t="s">
        <v>52</v>
      </c>
      <c r="D1279" s="6" t="s">
        <v>65</v>
      </c>
      <c r="E1279">
        <v>2</v>
      </c>
      <c r="F1279"/>
      <c r="H1279" s="4"/>
    </row>
    <row r="1280" spans="2:8" x14ac:dyDescent="0.25">
      <c r="B1280"/>
      <c r="C1280" s="1" t="s">
        <v>7</v>
      </c>
      <c r="D1280" s="6" t="s">
        <v>65</v>
      </c>
      <c r="E1280">
        <v>2</v>
      </c>
      <c r="F1280"/>
      <c r="H1280" s="4"/>
    </row>
    <row r="1281" spans="2:8" x14ac:dyDescent="0.25">
      <c r="B1281"/>
      <c r="C1281" s="1" t="s">
        <v>53</v>
      </c>
      <c r="D1281" s="6" t="s">
        <v>62</v>
      </c>
      <c r="E1281">
        <v>2</v>
      </c>
      <c r="F1281"/>
      <c r="H1281" s="4"/>
    </row>
    <row r="1282" spans="2:8" x14ac:dyDescent="0.25">
      <c r="B1282"/>
      <c r="C1282" s="1" t="s">
        <v>54</v>
      </c>
      <c r="D1282" s="6" t="s">
        <v>65</v>
      </c>
      <c r="E1282">
        <v>2</v>
      </c>
      <c r="F1282"/>
      <c r="H1282" s="4"/>
    </row>
    <row r="1283" spans="2:8" x14ac:dyDescent="0.25">
      <c r="B1283"/>
      <c r="C1283" s="1" t="s">
        <v>51</v>
      </c>
      <c r="D1283" s="6" t="s">
        <v>65</v>
      </c>
      <c r="E1283">
        <v>2</v>
      </c>
      <c r="F1283"/>
      <c r="H1283" s="4"/>
    </row>
    <row r="1284" spans="2:8" x14ac:dyDescent="0.25">
      <c r="B1284"/>
      <c r="C1284" s="1" t="s">
        <v>52</v>
      </c>
      <c r="D1284" s="6" t="s">
        <v>65</v>
      </c>
      <c r="E1284">
        <v>2</v>
      </c>
      <c r="F1284"/>
      <c r="H1284" s="4"/>
    </row>
    <row r="1285" spans="2:8" x14ac:dyDescent="0.25">
      <c r="B1285"/>
      <c r="C1285" s="1" t="s">
        <v>7</v>
      </c>
      <c r="D1285" s="6" t="s">
        <v>65</v>
      </c>
      <c r="E1285">
        <v>2</v>
      </c>
      <c r="F1285"/>
      <c r="H1285" s="4"/>
    </row>
    <row r="1286" spans="2:8" x14ac:dyDescent="0.25">
      <c r="B1286"/>
      <c r="C1286" s="1" t="s">
        <v>53</v>
      </c>
      <c r="D1286" s="6" t="s">
        <v>65</v>
      </c>
      <c r="E1286">
        <v>2</v>
      </c>
      <c r="F1286"/>
      <c r="H1286" s="4"/>
    </row>
    <row r="1287" spans="2:8" x14ac:dyDescent="0.25">
      <c r="B1287"/>
      <c r="C1287" s="1" t="s">
        <v>54</v>
      </c>
      <c r="D1287" s="6" t="s">
        <v>65</v>
      </c>
      <c r="E1287">
        <v>2</v>
      </c>
      <c r="F1287"/>
      <c r="H1287" s="4"/>
    </row>
    <row r="1288" spans="2:8" x14ac:dyDescent="0.25">
      <c r="B1288"/>
      <c r="C1288" s="1" t="s">
        <v>51</v>
      </c>
      <c r="D1288" s="6" t="s">
        <v>65</v>
      </c>
      <c r="E1288">
        <v>2</v>
      </c>
      <c r="F1288"/>
      <c r="H1288" s="4"/>
    </row>
    <row r="1289" spans="2:8" x14ac:dyDescent="0.25">
      <c r="B1289"/>
      <c r="C1289" s="1" t="s">
        <v>52</v>
      </c>
      <c r="D1289" s="6" t="s">
        <v>62</v>
      </c>
      <c r="E1289">
        <v>2</v>
      </c>
      <c r="F1289"/>
      <c r="H1289" s="4"/>
    </row>
    <row r="1290" spans="2:8" x14ac:dyDescent="0.25">
      <c r="B1290"/>
      <c r="C1290" s="1" t="s">
        <v>7</v>
      </c>
      <c r="D1290" s="6" t="s">
        <v>65</v>
      </c>
      <c r="E1290">
        <v>2</v>
      </c>
      <c r="F1290"/>
      <c r="H1290" s="4"/>
    </row>
    <row r="1291" spans="2:8" x14ac:dyDescent="0.25">
      <c r="B1291"/>
      <c r="C1291" s="1" t="s">
        <v>53</v>
      </c>
      <c r="D1291" s="6" t="s">
        <v>62</v>
      </c>
      <c r="E1291">
        <v>2</v>
      </c>
      <c r="F1291"/>
      <c r="H1291" s="4"/>
    </row>
    <row r="1292" spans="2:8" x14ac:dyDescent="0.25">
      <c r="B1292"/>
      <c r="C1292" s="1" t="s">
        <v>54</v>
      </c>
      <c r="D1292" s="6" t="s">
        <v>65</v>
      </c>
      <c r="E1292">
        <v>2</v>
      </c>
      <c r="F1292"/>
      <c r="H1292" s="4"/>
    </row>
    <row r="1293" spans="2:8" x14ac:dyDescent="0.25">
      <c r="B1293"/>
      <c r="C1293" s="1" t="s">
        <v>51</v>
      </c>
      <c r="D1293" s="6" t="s">
        <v>62</v>
      </c>
      <c r="E1293">
        <v>2</v>
      </c>
      <c r="F1293"/>
      <c r="H1293" s="4"/>
    </row>
    <row r="1294" spans="2:8" x14ac:dyDescent="0.25">
      <c r="B1294"/>
      <c r="C1294" s="1" t="s">
        <v>52</v>
      </c>
      <c r="D1294" s="6" t="s">
        <v>65</v>
      </c>
      <c r="E1294">
        <v>2</v>
      </c>
      <c r="F1294"/>
      <c r="H1294" s="4"/>
    </row>
    <row r="1295" spans="2:8" x14ac:dyDescent="0.25">
      <c r="B1295"/>
      <c r="C1295" s="1" t="s">
        <v>7</v>
      </c>
      <c r="D1295" s="6" t="s">
        <v>62</v>
      </c>
      <c r="E1295">
        <v>2</v>
      </c>
      <c r="F1295"/>
      <c r="H1295" s="4"/>
    </row>
    <row r="1296" spans="2:8" x14ac:dyDescent="0.25">
      <c r="B1296"/>
      <c r="C1296" s="1" t="s">
        <v>53</v>
      </c>
      <c r="D1296" s="6" t="s">
        <v>62</v>
      </c>
      <c r="E1296">
        <v>2</v>
      </c>
      <c r="F1296"/>
      <c r="H1296" s="4"/>
    </row>
    <row r="1297" spans="2:8" x14ac:dyDescent="0.25">
      <c r="B1297"/>
      <c r="C1297" s="1" t="s">
        <v>54</v>
      </c>
      <c r="D1297" s="6" t="s">
        <v>62</v>
      </c>
      <c r="E1297">
        <v>2</v>
      </c>
      <c r="F1297"/>
      <c r="H1297" s="4"/>
    </row>
    <row r="1298" spans="2:8" x14ac:dyDescent="0.25">
      <c r="B1298"/>
      <c r="C1298" s="1" t="s">
        <v>51</v>
      </c>
      <c r="D1298" s="6" t="s">
        <v>64</v>
      </c>
      <c r="E1298">
        <v>1.5</v>
      </c>
      <c r="F1298"/>
      <c r="H1298" s="4"/>
    </row>
    <row r="1299" spans="2:8" x14ac:dyDescent="0.25">
      <c r="B1299"/>
      <c r="C1299" s="1" t="s">
        <v>52</v>
      </c>
      <c r="D1299" s="6" t="s">
        <v>64</v>
      </c>
      <c r="E1299">
        <v>1.5</v>
      </c>
      <c r="F1299"/>
      <c r="H1299" s="4"/>
    </row>
    <row r="1300" spans="2:8" x14ac:dyDescent="0.25">
      <c r="B1300"/>
      <c r="C1300" s="1" t="s">
        <v>7</v>
      </c>
      <c r="D1300" s="6" t="s">
        <v>62</v>
      </c>
      <c r="E1300">
        <v>2</v>
      </c>
      <c r="F1300"/>
      <c r="H1300" s="4"/>
    </row>
    <row r="1301" spans="2:8" x14ac:dyDescent="0.25">
      <c r="B1301"/>
      <c r="C1301" s="1" t="s">
        <v>53</v>
      </c>
      <c r="D1301" s="6" t="s">
        <v>69</v>
      </c>
      <c r="E1301">
        <v>1</v>
      </c>
      <c r="F1301"/>
      <c r="H1301" s="4"/>
    </row>
    <row r="1302" spans="2:8" x14ac:dyDescent="0.25">
      <c r="B1302"/>
      <c r="C1302" s="1" t="s">
        <v>54</v>
      </c>
      <c r="D1302" s="6" t="s">
        <v>65</v>
      </c>
      <c r="E1302">
        <v>2</v>
      </c>
      <c r="F1302"/>
      <c r="H1302" s="4"/>
    </row>
    <row r="1303" spans="2:8" x14ac:dyDescent="0.25">
      <c r="B1303"/>
      <c r="C1303" s="1" t="s">
        <v>51</v>
      </c>
      <c r="D1303" s="6" t="s">
        <v>64</v>
      </c>
      <c r="E1303">
        <v>1.5</v>
      </c>
      <c r="F1303"/>
      <c r="H1303" s="4"/>
    </row>
    <row r="1304" spans="2:8" x14ac:dyDescent="0.25">
      <c r="B1304"/>
      <c r="C1304" s="1" t="s">
        <v>52</v>
      </c>
      <c r="D1304" s="6" t="s">
        <v>62</v>
      </c>
      <c r="E1304">
        <v>2</v>
      </c>
      <c r="F1304"/>
      <c r="H1304" s="4"/>
    </row>
    <row r="1305" spans="2:8" x14ac:dyDescent="0.25">
      <c r="B1305"/>
      <c r="C1305" s="1" t="s">
        <v>7</v>
      </c>
      <c r="D1305" s="6" t="s">
        <v>68</v>
      </c>
      <c r="E1305">
        <v>1.25</v>
      </c>
      <c r="F1305"/>
      <c r="H1305" s="4"/>
    </row>
    <row r="1306" spans="2:8" x14ac:dyDescent="0.25">
      <c r="B1306"/>
      <c r="C1306" s="1" t="s">
        <v>53</v>
      </c>
      <c r="D1306" s="6" t="s">
        <v>64</v>
      </c>
      <c r="E1306">
        <v>1.5</v>
      </c>
      <c r="F1306"/>
      <c r="H1306" s="4"/>
    </row>
    <row r="1307" spans="2:8" x14ac:dyDescent="0.25">
      <c r="B1307"/>
      <c r="C1307" s="1" t="s">
        <v>54</v>
      </c>
      <c r="D1307" s="6" t="s">
        <v>64</v>
      </c>
      <c r="E1307">
        <v>1.5</v>
      </c>
      <c r="F1307"/>
      <c r="H1307" s="4"/>
    </row>
    <row r="1308" spans="2:8" x14ac:dyDescent="0.25">
      <c r="B1308"/>
      <c r="C1308" s="1" t="s">
        <v>51</v>
      </c>
      <c r="D1308" s="6" t="s">
        <v>69</v>
      </c>
      <c r="E1308">
        <v>1</v>
      </c>
      <c r="F1308"/>
      <c r="H1308" s="4"/>
    </row>
    <row r="1309" spans="2:8" x14ac:dyDescent="0.25">
      <c r="B1309"/>
      <c r="C1309" s="1" t="s">
        <v>52</v>
      </c>
      <c r="D1309" s="6" t="s">
        <v>62</v>
      </c>
      <c r="E1309">
        <v>2</v>
      </c>
      <c r="F1309"/>
      <c r="H1309" s="4"/>
    </row>
    <row r="1310" spans="2:8" x14ac:dyDescent="0.25">
      <c r="B1310"/>
      <c r="C1310" s="1" t="s">
        <v>7</v>
      </c>
      <c r="D1310" s="6" t="s">
        <v>62</v>
      </c>
      <c r="E1310">
        <v>2</v>
      </c>
      <c r="F1310"/>
      <c r="H1310" s="4"/>
    </row>
    <row r="1311" spans="2:8" x14ac:dyDescent="0.25">
      <c r="B1311"/>
      <c r="C1311" s="1" t="s">
        <v>53</v>
      </c>
      <c r="D1311" s="6" t="s">
        <v>64</v>
      </c>
      <c r="E1311">
        <v>1.5</v>
      </c>
      <c r="F1311"/>
      <c r="H1311" s="4"/>
    </row>
    <row r="1312" spans="2:8" x14ac:dyDescent="0.25">
      <c r="B1312"/>
      <c r="C1312" s="1" t="s">
        <v>54</v>
      </c>
      <c r="D1312" s="6" t="s">
        <v>62</v>
      </c>
      <c r="E1312">
        <v>2</v>
      </c>
      <c r="F1312"/>
      <c r="H1312" s="4"/>
    </row>
    <row r="1313" spans="2:8" x14ac:dyDescent="0.25">
      <c r="B1313"/>
      <c r="C1313" s="1" t="s">
        <v>51</v>
      </c>
      <c r="D1313" s="6" t="s">
        <v>69</v>
      </c>
      <c r="E1313">
        <v>1</v>
      </c>
      <c r="F1313"/>
      <c r="H1313" s="4"/>
    </row>
    <row r="1314" spans="2:8" x14ac:dyDescent="0.25">
      <c r="B1314"/>
      <c r="C1314" s="1" t="s">
        <v>52</v>
      </c>
      <c r="D1314" s="6" t="s">
        <v>62</v>
      </c>
      <c r="E1314">
        <v>2</v>
      </c>
      <c r="F1314"/>
      <c r="H1314" s="4"/>
    </row>
    <row r="1315" spans="2:8" x14ac:dyDescent="0.25">
      <c r="B1315"/>
      <c r="C1315" s="1" t="s">
        <v>7</v>
      </c>
      <c r="D1315" s="6" t="s">
        <v>62</v>
      </c>
      <c r="E1315">
        <v>2</v>
      </c>
      <c r="F1315"/>
      <c r="H1315" s="4"/>
    </row>
    <row r="1316" spans="2:8" x14ac:dyDescent="0.25">
      <c r="B1316"/>
      <c r="C1316" s="1" t="s">
        <v>53</v>
      </c>
      <c r="D1316" s="6" t="s">
        <v>69</v>
      </c>
      <c r="E1316">
        <v>1</v>
      </c>
      <c r="F1316"/>
      <c r="H1316" s="4"/>
    </row>
    <row r="1317" spans="2:8" x14ac:dyDescent="0.25">
      <c r="B1317"/>
      <c r="C1317" s="1" t="s">
        <v>54</v>
      </c>
      <c r="D1317" s="6" t="s">
        <v>97</v>
      </c>
      <c r="E1317">
        <v>0.75</v>
      </c>
      <c r="F1317"/>
      <c r="H1317" s="4"/>
    </row>
    <row r="1318" spans="2:8" x14ac:dyDescent="0.25">
      <c r="B1318"/>
      <c r="C1318" s="1" t="s">
        <v>51</v>
      </c>
      <c r="D1318" s="6" t="s">
        <v>62</v>
      </c>
      <c r="E1318">
        <v>2</v>
      </c>
      <c r="F1318"/>
      <c r="H1318" s="4"/>
    </row>
    <row r="1319" spans="2:8" x14ac:dyDescent="0.25">
      <c r="B1319"/>
      <c r="C1319" s="1" t="s">
        <v>52</v>
      </c>
      <c r="D1319" s="6" t="s">
        <v>65</v>
      </c>
      <c r="E1319">
        <v>2</v>
      </c>
      <c r="F1319"/>
      <c r="H1319" s="4"/>
    </row>
    <row r="1320" spans="2:8" x14ac:dyDescent="0.25">
      <c r="B1320"/>
      <c r="C1320" s="1" t="s">
        <v>7</v>
      </c>
      <c r="D1320" s="6" t="s">
        <v>64</v>
      </c>
      <c r="E1320">
        <v>1.5</v>
      </c>
      <c r="F1320"/>
      <c r="H1320" s="4"/>
    </row>
    <row r="1321" spans="2:8" x14ac:dyDescent="0.25">
      <c r="B1321"/>
      <c r="C1321" s="1" t="s">
        <v>53</v>
      </c>
      <c r="D1321" s="6" t="s">
        <v>65</v>
      </c>
      <c r="E1321">
        <v>2</v>
      </c>
      <c r="F1321"/>
      <c r="H1321" s="4"/>
    </row>
    <row r="1322" spans="2:8" x14ac:dyDescent="0.25">
      <c r="B1322"/>
      <c r="C1322" s="1" t="s">
        <v>54</v>
      </c>
      <c r="D1322" s="6" t="s">
        <v>66</v>
      </c>
      <c r="E1322">
        <v>2.2999999999999998</v>
      </c>
      <c r="F1322"/>
      <c r="H1322" s="4"/>
    </row>
    <row r="1323" spans="2:8" x14ac:dyDescent="0.25">
      <c r="B1323"/>
      <c r="C1323" s="1" t="s">
        <v>51</v>
      </c>
      <c r="D1323" s="6" t="s">
        <v>62</v>
      </c>
      <c r="E1323">
        <v>2</v>
      </c>
      <c r="F1323"/>
      <c r="H1323" s="4"/>
    </row>
    <row r="1324" spans="2:8" x14ac:dyDescent="0.25">
      <c r="B1324"/>
      <c r="C1324" s="1" t="s">
        <v>52</v>
      </c>
      <c r="D1324" s="6" t="s">
        <v>64</v>
      </c>
      <c r="E1324">
        <v>1.5</v>
      </c>
      <c r="F1324"/>
      <c r="H1324" s="4"/>
    </row>
    <row r="1325" spans="2:8" x14ac:dyDescent="0.25">
      <c r="B1325"/>
      <c r="C1325" s="1" t="s">
        <v>7</v>
      </c>
      <c r="D1325" s="6" t="s">
        <v>62</v>
      </c>
      <c r="E1325">
        <v>2</v>
      </c>
      <c r="F1325"/>
      <c r="H1325" s="4"/>
    </row>
    <row r="1326" spans="2:8" x14ac:dyDescent="0.25">
      <c r="B1326"/>
      <c r="C1326" s="1" t="s">
        <v>53</v>
      </c>
      <c r="D1326" s="6" t="s">
        <v>87</v>
      </c>
      <c r="E1326">
        <v>6</v>
      </c>
      <c r="F1326"/>
      <c r="H1326" s="4"/>
    </row>
    <row r="1327" spans="2:8" x14ac:dyDescent="0.25">
      <c r="B1327"/>
      <c r="C1327" s="1" t="s">
        <v>54</v>
      </c>
      <c r="D1327" s="6" t="s">
        <v>68</v>
      </c>
      <c r="E1327">
        <v>1.25</v>
      </c>
      <c r="F1327"/>
      <c r="H1327" s="4"/>
    </row>
    <row r="1328" spans="2:8" x14ac:dyDescent="0.25">
      <c r="B1328"/>
      <c r="C1328" s="1" t="s">
        <v>51</v>
      </c>
      <c r="D1328" s="6" t="s">
        <v>69</v>
      </c>
      <c r="E1328">
        <v>1</v>
      </c>
      <c r="F1328"/>
      <c r="H1328" s="4"/>
    </row>
    <row r="1329" spans="2:8" x14ac:dyDescent="0.25">
      <c r="B1329"/>
      <c r="C1329" s="1" t="s">
        <v>52</v>
      </c>
      <c r="D1329" s="6" t="s">
        <v>62</v>
      </c>
      <c r="E1329">
        <v>2</v>
      </c>
      <c r="F1329"/>
      <c r="H1329" s="4"/>
    </row>
    <row r="1330" spans="2:8" x14ac:dyDescent="0.25">
      <c r="B1330"/>
      <c r="C1330" s="1" t="s">
        <v>7</v>
      </c>
      <c r="D1330" s="6" t="s">
        <v>62</v>
      </c>
      <c r="E1330">
        <v>2</v>
      </c>
      <c r="F1330"/>
      <c r="H1330" s="4"/>
    </row>
    <row r="1331" spans="2:8" x14ac:dyDescent="0.25">
      <c r="B1331"/>
      <c r="C1331" s="1" t="s">
        <v>53</v>
      </c>
      <c r="D1331" s="6" t="s">
        <v>62</v>
      </c>
      <c r="E1331">
        <v>2</v>
      </c>
      <c r="F1331"/>
      <c r="H1331" s="4"/>
    </row>
    <row r="1332" spans="2:8" x14ac:dyDescent="0.25">
      <c r="B1332"/>
      <c r="C1332" s="1" t="s">
        <v>54</v>
      </c>
      <c r="D1332" s="6" t="s">
        <v>64</v>
      </c>
      <c r="E1332">
        <v>1.5</v>
      </c>
      <c r="F1332"/>
      <c r="H1332" s="4"/>
    </row>
    <row r="1333" spans="2:8" x14ac:dyDescent="0.25">
      <c r="B1333"/>
      <c r="C1333" s="1" t="s">
        <v>51</v>
      </c>
      <c r="D1333" s="6" t="s">
        <v>66</v>
      </c>
      <c r="E1333">
        <v>2.2999999999999998</v>
      </c>
      <c r="F1333"/>
      <c r="H1333" s="4"/>
    </row>
    <row r="1334" spans="2:8" x14ac:dyDescent="0.25">
      <c r="B1334"/>
      <c r="C1334" s="1" t="s">
        <v>52</v>
      </c>
      <c r="D1334" s="6" t="s">
        <v>62</v>
      </c>
      <c r="E1334">
        <v>2</v>
      </c>
      <c r="F1334"/>
      <c r="H1334" s="4"/>
    </row>
    <row r="1335" spans="2:8" x14ac:dyDescent="0.25">
      <c r="B1335"/>
      <c r="C1335" s="1" t="s">
        <v>7</v>
      </c>
      <c r="D1335" s="6" t="s">
        <v>72</v>
      </c>
      <c r="E1335">
        <v>0.5</v>
      </c>
      <c r="F1335"/>
      <c r="H1335" s="4"/>
    </row>
    <row r="1336" spans="2:8" x14ac:dyDescent="0.25">
      <c r="B1336"/>
      <c r="C1336" s="1" t="s">
        <v>53</v>
      </c>
      <c r="D1336" s="6" t="s">
        <v>62</v>
      </c>
      <c r="E1336">
        <v>2</v>
      </c>
      <c r="F1336"/>
      <c r="H1336" s="4"/>
    </row>
    <row r="1337" spans="2:8" x14ac:dyDescent="0.25">
      <c r="B1337"/>
      <c r="C1337" s="1" t="s">
        <v>54</v>
      </c>
      <c r="D1337" s="6" t="s">
        <v>64</v>
      </c>
      <c r="E1337">
        <v>1.5</v>
      </c>
      <c r="F1337"/>
      <c r="H1337" s="4"/>
    </row>
    <row r="1338" spans="2:8" x14ac:dyDescent="0.25">
      <c r="B1338"/>
      <c r="C1338" s="1" t="s">
        <v>51</v>
      </c>
      <c r="D1338" s="6" t="s">
        <v>64</v>
      </c>
      <c r="E1338">
        <v>1.5</v>
      </c>
      <c r="F1338"/>
      <c r="H1338" s="4"/>
    </row>
    <row r="1339" spans="2:8" x14ac:dyDescent="0.25">
      <c r="B1339"/>
      <c r="C1339" s="1" t="s">
        <v>52</v>
      </c>
      <c r="D1339" s="6" t="s">
        <v>62</v>
      </c>
      <c r="E1339">
        <v>2</v>
      </c>
      <c r="F1339"/>
      <c r="H1339" s="4"/>
    </row>
    <row r="1340" spans="2:8" x14ac:dyDescent="0.25">
      <c r="B1340"/>
      <c r="C1340" s="1" t="s">
        <v>7</v>
      </c>
      <c r="D1340" s="6" t="s">
        <v>67</v>
      </c>
      <c r="E1340">
        <v>3</v>
      </c>
      <c r="F1340"/>
      <c r="H1340" s="4"/>
    </row>
    <row r="1341" spans="2:8" x14ac:dyDescent="0.25">
      <c r="B1341"/>
      <c r="C1341" s="1" t="s">
        <v>53</v>
      </c>
      <c r="D1341" s="6" t="s">
        <v>62</v>
      </c>
      <c r="E1341">
        <v>2</v>
      </c>
      <c r="F1341"/>
      <c r="H1341" s="4"/>
    </row>
    <row r="1342" spans="2:8" x14ac:dyDescent="0.25">
      <c r="B1342"/>
      <c r="C1342" s="1" t="s">
        <v>54</v>
      </c>
      <c r="D1342" s="6" t="s">
        <v>62</v>
      </c>
      <c r="E1342">
        <v>2</v>
      </c>
      <c r="F1342"/>
      <c r="H1342" s="4"/>
    </row>
    <row r="1343" spans="2:8" x14ac:dyDescent="0.25">
      <c r="B1343"/>
      <c r="C1343" s="1" t="s">
        <v>51</v>
      </c>
      <c r="D1343" s="6" t="s">
        <v>68</v>
      </c>
      <c r="E1343">
        <v>1.25</v>
      </c>
      <c r="F1343"/>
      <c r="H1343" s="4"/>
    </row>
    <row r="1344" spans="2:8" x14ac:dyDescent="0.25">
      <c r="B1344"/>
      <c r="C1344" s="1" t="s">
        <v>52</v>
      </c>
      <c r="D1344" s="6" t="s">
        <v>62</v>
      </c>
      <c r="E1344">
        <v>2</v>
      </c>
      <c r="F1344"/>
      <c r="H1344" s="4"/>
    </row>
    <row r="1345" spans="2:8" x14ac:dyDescent="0.25">
      <c r="B1345"/>
      <c r="C1345" s="1" t="s">
        <v>7</v>
      </c>
      <c r="D1345" s="6" t="s">
        <v>70</v>
      </c>
      <c r="E1345">
        <v>15</v>
      </c>
      <c r="F1345"/>
      <c r="H1345" s="4"/>
    </row>
    <row r="1346" spans="2:8" x14ac:dyDescent="0.25">
      <c r="B1346"/>
      <c r="C1346" s="1" t="s">
        <v>53</v>
      </c>
      <c r="D1346" s="6" t="s">
        <v>70</v>
      </c>
      <c r="E1346">
        <v>15</v>
      </c>
      <c r="F1346"/>
      <c r="H1346" s="4"/>
    </row>
    <row r="1347" spans="2:8" x14ac:dyDescent="0.25">
      <c r="B1347"/>
      <c r="C1347" s="1" t="s">
        <v>54</v>
      </c>
      <c r="D1347" s="6" t="s">
        <v>65</v>
      </c>
      <c r="E1347">
        <v>2</v>
      </c>
      <c r="F1347"/>
      <c r="H1347" s="4"/>
    </row>
    <row r="1348" spans="2:8" x14ac:dyDescent="0.25">
      <c r="B1348"/>
      <c r="C1348" s="1" t="s">
        <v>51</v>
      </c>
      <c r="D1348" s="6" t="s">
        <v>64</v>
      </c>
      <c r="E1348">
        <v>1.5</v>
      </c>
      <c r="F1348"/>
      <c r="H1348" s="4"/>
    </row>
    <row r="1349" spans="2:8" x14ac:dyDescent="0.25">
      <c r="B1349"/>
      <c r="C1349" s="1" t="s">
        <v>52</v>
      </c>
      <c r="D1349" s="6" t="s">
        <v>63</v>
      </c>
      <c r="E1349">
        <v>1</v>
      </c>
      <c r="F1349"/>
      <c r="H1349" s="4"/>
    </row>
    <row r="1350" spans="2:8" x14ac:dyDescent="0.25">
      <c r="B1350"/>
      <c r="C1350" s="1" t="s">
        <v>7</v>
      </c>
      <c r="D1350" s="6" t="s">
        <v>62</v>
      </c>
      <c r="E1350">
        <v>2</v>
      </c>
      <c r="F1350"/>
      <c r="H1350" s="4"/>
    </row>
    <row r="1351" spans="2:8" x14ac:dyDescent="0.25">
      <c r="B1351"/>
      <c r="C1351" s="1" t="s">
        <v>53</v>
      </c>
      <c r="D1351" s="6" t="s">
        <v>70</v>
      </c>
      <c r="E1351">
        <v>15</v>
      </c>
      <c r="F1351"/>
      <c r="H1351" s="4"/>
    </row>
    <row r="1352" spans="2:8" x14ac:dyDescent="0.25">
      <c r="B1352"/>
      <c r="C1352" s="1" t="s">
        <v>54</v>
      </c>
      <c r="D1352" s="6" t="s">
        <v>69</v>
      </c>
      <c r="E1352">
        <v>1</v>
      </c>
      <c r="F1352"/>
      <c r="H1352" s="4"/>
    </row>
    <row r="1353" spans="2:8" x14ac:dyDescent="0.25">
      <c r="B1353"/>
      <c r="C1353" s="1" t="s">
        <v>51</v>
      </c>
      <c r="D1353" s="6" t="s">
        <v>72</v>
      </c>
      <c r="E1353">
        <v>0.5</v>
      </c>
      <c r="F1353"/>
      <c r="H1353" s="4"/>
    </row>
    <row r="1354" spans="2:8" x14ac:dyDescent="0.25">
      <c r="B1354"/>
      <c r="C1354" s="1" t="s">
        <v>52</v>
      </c>
      <c r="D1354" s="6" t="s">
        <v>70</v>
      </c>
      <c r="E1354">
        <v>15</v>
      </c>
      <c r="F1354"/>
      <c r="H1354" s="4"/>
    </row>
    <row r="1355" spans="2:8" x14ac:dyDescent="0.25">
      <c r="B1355"/>
      <c r="C1355" s="1" t="s">
        <v>7</v>
      </c>
      <c r="D1355" s="6" t="s">
        <v>70</v>
      </c>
      <c r="E1355">
        <v>15</v>
      </c>
      <c r="F1355"/>
      <c r="H1355" s="4"/>
    </row>
    <row r="1356" spans="2:8" x14ac:dyDescent="0.25">
      <c r="B1356"/>
      <c r="C1356" s="1" t="s">
        <v>53</v>
      </c>
      <c r="D1356" s="6" t="s">
        <v>69</v>
      </c>
      <c r="E1356">
        <v>1</v>
      </c>
      <c r="F1356"/>
      <c r="H1356" s="4"/>
    </row>
    <row r="1357" spans="2:8" x14ac:dyDescent="0.25">
      <c r="B1357"/>
      <c r="C1357" s="1" t="s">
        <v>54</v>
      </c>
      <c r="D1357" s="6" t="s">
        <v>69</v>
      </c>
      <c r="E1357">
        <v>1</v>
      </c>
      <c r="F1357"/>
      <c r="H1357" s="4"/>
    </row>
    <row r="1358" spans="2:8" x14ac:dyDescent="0.25">
      <c r="B1358"/>
      <c r="C1358" s="1" t="s">
        <v>51</v>
      </c>
      <c r="D1358" s="6" t="s">
        <v>62</v>
      </c>
      <c r="E1358">
        <v>2</v>
      </c>
      <c r="F1358"/>
      <c r="H1358" s="4"/>
    </row>
    <row r="1359" spans="2:8" x14ac:dyDescent="0.25">
      <c r="B1359"/>
      <c r="C1359" s="1" t="s">
        <v>52</v>
      </c>
      <c r="D1359" s="6" t="s">
        <v>67</v>
      </c>
      <c r="E1359">
        <v>3</v>
      </c>
      <c r="F1359"/>
      <c r="H1359" s="4"/>
    </row>
    <row r="1360" spans="2:8" x14ac:dyDescent="0.25">
      <c r="B1360"/>
      <c r="C1360" s="1" t="s">
        <v>7</v>
      </c>
      <c r="D1360" s="6" t="s">
        <v>64</v>
      </c>
      <c r="E1360">
        <v>1.5</v>
      </c>
      <c r="F1360"/>
      <c r="H1360" s="4"/>
    </row>
    <row r="1361" spans="2:8" x14ac:dyDescent="0.25">
      <c r="B1361"/>
      <c r="C1361" s="1" t="s">
        <v>53</v>
      </c>
      <c r="D1361" s="6" t="s">
        <v>62</v>
      </c>
      <c r="E1361">
        <v>2</v>
      </c>
      <c r="F1361"/>
      <c r="H1361" s="4"/>
    </row>
    <row r="1362" spans="2:8" x14ac:dyDescent="0.25">
      <c r="B1362"/>
      <c r="C1362" s="1" t="s">
        <v>54</v>
      </c>
      <c r="D1362" s="6" t="s">
        <v>62</v>
      </c>
      <c r="E1362">
        <v>2</v>
      </c>
      <c r="F1362"/>
      <c r="H1362" s="4"/>
    </row>
    <row r="1363" spans="2:8" x14ac:dyDescent="0.25">
      <c r="B1363"/>
      <c r="C1363" s="1" t="s">
        <v>51</v>
      </c>
      <c r="D1363" s="6" t="s">
        <v>64</v>
      </c>
      <c r="E1363">
        <v>1.5</v>
      </c>
      <c r="F1363"/>
      <c r="H1363" s="4"/>
    </row>
    <row r="1364" spans="2:8" x14ac:dyDescent="0.25">
      <c r="B1364"/>
      <c r="C1364" s="1" t="s">
        <v>52</v>
      </c>
      <c r="D1364" s="6" t="s">
        <v>62</v>
      </c>
      <c r="E1364">
        <v>2</v>
      </c>
      <c r="F1364"/>
      <c r="H1364" s="4"/>
    </row>
    <row r="1365" spans="2:8" x14ac:dyDescent="0.25">
      <c r="B1365"/>
      <c r="C1365" s="1" t="s">
        <v>7</v>
      </c>
      <c r="D1365" s="6" t="s">
        <v>64</v>
      </c>
      <c r="E1365">
        <v>1.5</v>
      </c>
      <c r="F1365"/>
      <c r="H1365" s="4"/>
    </row>
    <row r="1366" spans="2:8" x14ac:dyDescent="0.25">
      <c r="B1366"/>
      <c r="C1366" s="1" t="s">
        <v>53</v>
      </c>
      <c r="D1366" s="6" t="s">
        <v>66</v>
      </c>
      <c r="E1366">
        <v>2.2999999999999998</v>
      </c>
      <c r="F1366"/>
      <c r="H1366" s="4"/>
    </row>
    <row r="1367" spans="2:8" x14ac:dyDescent="0.25">
      <c r="B1367"/>
      <c r="C1367" s="1" t="s">
        <v>54</v>
      </c>
      <c r="D1367" s="6" t="s">
        <v>62</v>
      </c>
      <c r="E1367">
        <v>2</v>
      </c>
      <c r="F1367"/>
      <c r="H1367" s="4"/>
    </row>
    <row r="1368" spans="2:8" x14ac:dyDescent="0.25">
      <c r="B1368"/>
      <c r="C1368" s="1" t="s">
        <v>51</v>
      </c>
      <c r="D1368" s="6" t="s">
        <v>66</v>
      </c>
      <c r="E1368">
        <v>2.2999999999999998</v>
      </c>
      <c r="F1368"/>
      <c r="H1368" s="4"/>
    </row>
    <row r="1369" spans="2:8" x14ac:dyDescent="0.25">
      <c r="B1369"/>
      <c r="C1369" s="1" t="s">
        <v>52</v>
      </c>
      <c r="D1369" s="6" t="s">
        <v>66</v>
      </c>
      <c r="E1369">
        <v>2.2999999999999998</v>
      </c>
      <c r="F1369"/>
      <c r="H1369" s="4"/>
    </row>
    <row r="1370" spans="2:8" x14ac:dyDescent="0.25">
      <c r="B1370"/>
      <c r="C1370" s="1" t="s">
        <v>7</v>
      </c>
      <c r="D1370" s="6" t="s">
        <v>62</v>
      </c>
      <c r="E1370">
        <v>2</v>
      </c>
      <c r="F1370"/>
      <c r="H1370" s="4"/>
    </row>
    <row r="1371" spans="2:8" x14ac:dyDescent="0.25">
      <c r="B1371"/>
      <c r="C1371" s="1" t="s">
        <v>53</v>
      </c>
      <c r="D1371" s="6" t="s">
        <v>62</v>
      </c>
      <c r="E1371">
        <v>2</v>
      </c>
      <c r="F1371"/>
      <c r="H1371" s="4"/>
    </row>
    <row r="1372" spans="2:8" x14ac:dyDescent="0.25">
      <c r="B1372"/>
      <c r="C1372" s="1" t="s">
        <v>54</v>
      </c>
      <c r="D1372" s="6" t="s">
        <v>62</v>
      </c>
      <c r="E1372">
        <v>2</v>
      </c>
      <c r="F1372"/>
      <c r="H1372" s="4"/>
    </row>
    <row r="1373" spans="2:8" x14ac:dyDescent="0.25">
      <c r="B1373"/>
      <c r="C1373" s="1" t="s">
        <v>51</v>
      </c>
      <c r="D1373" s="6" t="s">
        <v>62</v>
      </c>
      <c r="E1373">
        <v>2</v>
      </c>
      <c r="F1373"/>
      <c r="H1373" s="4"/>
    </row>
    <row r="1374" spans="2:8" x14ac:dyDescent="0.25">
      <c r="B1374"/>
      <c r="C1374" s="1" t="s">
        <v>52</v>
      </c>
      <c r="D1374" s="6" t="s">
        <v>66</v>
      </c>
      <c r="E1374">
        <v>2.2999999999999998</v>
      </c>
      <c r="F1374"/>
      <c r="H1374" s="4"/>
    </row>
    <row r="1375" spans="2:8" x14ac:dyDescent="0.25">
      <c r="B1375"/>
      <c r="C1375" s="1" t="s">
        <v>7</v>
      </c>
      <c r="D1375" s="6" t="s">
        <v>69</v>
      </c>
      <c r="E1375">
        <v>1</v>
      </c>
      <c r="F1375"/>
      <c r="H1375" s="4"/>
    </row>
    <row r="1376" spans="2:8" x14ac:dyDescent="0.25">
      <c r="B1376"/>
      <c r="C1376" s="1" t="s">
        <v>53</v>
      </c>
      <c r="D1376" s="6" t="s">
        <v>64</v>
      </c>
      <c r="E1376">
        <v>1.5</v>
      </c>
      <c r="F1376"/>
      <c r="H1376" s="4"/>
    </row>
    <row r="1377" spans="2:8" x14ac:dyDescent="0.25">
      <c r="B1377"/>
      <c r="C1377" s="1" t="s">
        <v>54</v>
      </c>
      <c r="D1377" s="6" t="s">
        <v>71</v>
      </c>
      <c r="E1377">
        <v>2.5</v>
      </c>
      <c r="F1377"/>
      <c r="H1377" s="4"/>
    </row>
    <row r="1378" spans="2:8" x14ac:dyDescent="0.25">
      <c r="B1378"/>
      <c r="C1378" s="1" t="s">
        <v>51</v>
      </c>
      <c r="D1378" s="6" t="s">
        <v>62</v>
      </c>
      <c r="E1378">
        <v>2</v>
      </c>
      <c r="F1378"/>
      <c r="H1378" s="4"/>
    </row>
    <row r="1379" spans="2:8" x14ac:dyDescent="0.25">
      <c r="B1379"/>
      <c r="C1379" s="1" t="s">
        <v>52</v>
      </c>
      <c r="D1379" s="6" t="s">
        <v>62</v>
      </c>
      <c r="E1379">
        <v>2</v>
      </c>
      <c r="F1379"/>
      <c r="H1379" s="4"/>
    </row>
    <row r="1380" spans="2:8" x14ac:dyDescent="0.25">
      <c r="B1380"/>
      <c r="C1380" s="1" t="s">
        <v>7</v>
      </c>
      <c r="D1380" s="6" t="s">
        <v>65</v>
      </c>
      <c r="E1380">
        <v>2</v>
      </c>
      <c r="F1380"/>
      <c r="H1380" s="4"/>
    </row>
    <row r="1381" spans="2:8" x14ac:dyDescent="0.25">
      <c r="B1381"/>
      <c r="C1381" s="1" t="s">
        <v>53</v>
      </c>
      <c r="D1381" s="6" t="s">
        <v>62</v>
      </c>
      <c r="E1381">
        <v>2</v>
      </c>
      <c r="F1381"/>
      <c r="H1381" s="4"/>
    </row>
    <row r="1382" spans="2:8" x14ac:dyDescent="0.25">
      <c r="B1382"/>
      <c r="C1382" s="1" t="s">
        <v>54</v>
      </c>
      <c r="D1382" s="6" t="s">
        <v>66</v>
      </c>
      <c r="E1382">
        <v>2.2999999999999998</v>
      </c>
      <c r="F1382"/>
      <c r="H1382" s="4"/>
    </row>
    <row r="1383" spans="2:8" x14ac:dyDescent="0.25">
      <c r="B1383"/>
      <c r="C1383" s="1" t="s">
        <v>51</v>
      </c>
      <c r="D1383" s="6" t="s">
        <v>62</v>
      </c>
      <c r="E1383">
        <v>2</v>
      </c>
      <c r="F1383"/>
      <c r="H1383" s="4"/>
    </row>
    <row r="1384" spans="2:8" x14ac:dyDescent="0.25">
      <c r="B1384"/>
      <c r="C1384" s="1" t="s">
        <v>52</v>
      </c>
      <c r="D1384" s="6" t="s">
        <v>64</v>
      </c>
      <c r="E1384">
        <v>1.5</v>
      </c>
      <c r="F1384"/>
      <c r="H1384" s="4"/>
    </row>
    <row r="1385" spans="2:8" x14ac:dyDescent="0.25">
      <c r="B1385"/>
      <c r="C1385" s="1" t="s">
        <v>7</v>
      </c>
      <c r="D1385" s="6" t="s">
        <v>62</v>
      </c>
      <c r="E1385">
        <v>2</v>
      </c>
      <c r="F1385"/>
      <c r="H1385" s="4"/>
    </row>
    <row r="1386" spans="2:8" x14ac:dyDescent="0.25">
      <c r="B1386"/>
      <c r="C1386" s="1" t="s">
        <v>53</v>
      </c>
      <c r="D1386" s="6" t="s">
        <v>66</v>
      </c>
      <c r="E1386">
        <v>2.2999999999999998</v>
      </c>
      <c r="F1386"/>
      <c r="H1386" s="4"/>
    </row>
    <row r="1387" spans="2:8" x14ac:dyDescent="0.25">
      <c r="B1387"/>
      <c r="C1387" s="1" t="s">
        <v>54</v>
      </c>
      <c r="D1387" s="6" t="s">
        <v>62</v>
      </c>
      <c r="E1387">
        <v>2</v>
      </c>
      <c r="F1387"/>
      <c r="H1387" s="4"/>
    </row>
    <row r="1388" spans="2:8" x14ac:dyDescent="0.25">
      <c r="B1388"/>
      <c r="C1388" s="1" t="s">
        <v>51</v>
      </c>
      <c r="D1388" s="6" t="s">
        <v>62</v>
      </c>
      <c r="E1388">
        <v>2</v>
      </c>
      <c r="F1388"/>
      <c r="H1388" s="4"/>
    </row>
    <row r="1389" spans="2:8" x14ac:dyDescent="0.25">
      <c r="B1389"/>
      <c r="C1389" s="1" t="s">
        <v>52</v>
      </c>
      <c r="D1389" s="6" t="s">
        <v>64</v>
      </c>
      <c r="E1389">
        <v>1.5</v>
      </c>
      <c r="F1389"/>
      <c r="H1389" s="4"/>
    </row>
    <row r="1390" spans="2:8" x14ac:dyDescent="0.25">
      <c r="B1390"/>
      <c r="C1390" s="1" t="s">
        <v>7</v>
      </c>
      <c r="D1390" s="6" t="s">
        <v>62</v>
      </c>
      <c r="E1390">
        <v>2</v>
      </c>
      <c r="F1390"/>
      <c r="H1390" s="4"/>
    </row>
    <row r="1391" spans="2:8" x14ac:dyDescent="0.25">
      <c r="B1391"/>
      <c r="C1391" s="1" t="s">
        <v>53</v>
      </c>
      <c r="D1391" s="6" t="s">
        <v>62</v>
      </c>
      <c r="E1391">
        <v>2</v>
      </c>
      <c r="F1391"/>
      <c r="H1391" s="4"/>
    </row>
    <row r="1392" spans="2:8" x14ac:dyDescent="0.25">
      <c r="B1392"/>
      <c r="C1392" s="1" t="s">
        <v>54</v>
      </c>
      <c r="D1392" s="6" t="s">
        <v>62</v>
      </c>
      <c r="E1392">
        <v>2</v>
      </c>
      <c r="F1392"/>
      <c r="H1392" s="4"/>
    </row>
    <row r="1393" spans="2:8" x14ac:dyDescent="0.25">
      <c r="B1393"/>
      <c r="C1393" s="1" t="s">
        <v>51</v>
      </c>
      <c r="D1393" s="6" t="s">
        <v>63</v>
      </c>
      <c r="E1393">
        <v>1</v>
      </c>
      <c r="F1393"/>
      <c r="H1393" s="4"/>
    </row>
    <row r="1394" spans="2:8" x14ac:dyDescent="0.25">
      <c r="B1394"/>
      <c r="C1394" s="1" t="s">
        <v>52</v>
      </c>
      <c r="D1394" s="6" t="s">
        <v>62</v>
      </c>
      <c r="E1394">
        <v>2</v>
      </c>
      <c r="F1394"/>
      <c r="H1394" s="4"/>
    </row>
    <row r="1395" spans="2:8" x14ac:dyDescent="0.25">
      <c r="B1395"/>
      <c r="C1395" s="1" t="s">
        <v>7</v>
      </c>
      <c r="D1395" s="6" t="s">
        <v>62</v>
      </c>
      <c r="E1395">
        <v>2</v>
      </c>
      <c r="F1395"/>
      <c r="H1395" s="4"/>
    </row>
    <row r="1396" spans="2:8" x14ac:dyDescent="0.25">
      <c r="B1396"/>
      <c r="C1396" s="1" t="s">
        <v>53</v>
      </c>
      <c r="D1396" s="6" t="s">
        <v>64</v>
      </c>
      <c r="E1396">
        <v>1.5</v>
      </c>
      <c r="F1396"/>
      <c r="H1396" s="4"/>
    </row>
    <row r="1397" spans="2:8" x14ac:dyDescent="0.25">
      <c r="B1397"/>
      <c r="C1397" s="1" t="s">
        <v>54</v>
      </c>
      <c r="D1397" s="6" t="s">
        <v>69</v>
      </c>
      <c r="E1397">
        <v>1</v>
      </c>
      <c r="F1397"/>
      <c r="H1397" s="4"/>
    </row>
    <row r="1398" spans="2:8" x14ac:dyDescent="0.25">
      <c r="B1398"/>
      <c r="C1398" s="1" t="s">
        <v>51</v>
      </c>
      <c r="D1398" s="6" t="s">
        <v>64</v>
      </c>
      <c r="E1398">
        <v>1.5</v>
      </c>
      <c r="F1398"/>
      <c r="H1398" s="4"/>
    </row>
    <row r="1399" spans="2:8" x14ac:dyDescent="0.25">
      <c r="B1399"/>
      <c r="C1399" s="1" t="s">
        <v>52</v>
      </c>
      <c r="D1399" s="6" t="s">
        <v>62</v>
      </c>
      <c r="E1399">
        <v>2</v>
      </c>
      <c r="F1399"/>
      <c r="H1399" s="4"/>
    </row>
    <row r="1400" spans="2:8" x14ac:dyDescent="0.25">
      <c r="B1400"/>
      <c r="C1400" s="1" t="s">
        <v>7</v>
      </c>
      <c r="D1400" s="6" t="s">
        <v>64</v>
      </c>
      <c r="E1400">
        <v>1.5</v>
      </c>
      <c r="F1400"/>
      <c r="H1400" s="4"/>
    </row>
    <row r="1401" spans="2:8" x14ac:dyDescent="0.25">
      <c r="B1401"/>
      <c r="C1401" s="1" t="s">
        <v>53</v>
      </c>
      <c r="D1401" s="6" t="s">
        <v>68</v>
      </c>
      <c r="E1401">
        <v>1.25</v>
      </c>
      <c r="F1401"/>
      <c r="H1401" s="4"/>
    </row>
    <row r="1402" spans="2:8" x14ac:dyDescent="0.25">
      <c r="B1402"/>
      <c r="C1402" s="1" t="s">
        <v>54</v>
      </c>
      <c r="D1402" s="6" t="s">
        <v>62</v>
      </c>
      <c r="E1402">
        <v>2</v>
      </c>
      <c r="F1402"/>
      <c r="H1402" s="4"/>
    </row>
    <row r="1403" spans="2:8" x14ac:dyDescent="0.25">
      <c r="B1403"/>
      <c r="C1403" s="1" t="s">
        <v>51</v>
      </c>
      <c r="D1403" s="6" t="s">
        <v>68</v>
      </c>
      <c r="E1403">
        <v>1.25</v>
      </c>
      <c r="F1403"/>
      <c r="H1403" s="4"/>
    </row>
    <row r="1404" spans="2:8" x14ac:dyDescent="0.25">
      <c r="B1404"/>
      <c r="C1404" s="1" t="s">
        <v>52</v>
      </c>
      <c r="D1404" s="6" t="s">
        <v>66</v>
      </c>
      <c r="E1404">
        <v>2.2999999999999998</v>
      </c>
      <c r="F1404"/>
      <c r="H1404" s="4"/>
    </row>
    <row r="1405" spans="2:8" x14ac:dyDescent="0.25">
      <c r="B1405"/>
      <c r="C1405" s="1" t="s">
        <v>7</v>
      </c>
      <c r="D1405" s="6" t="s">
        <v>70</v>
      </c>
      <c r="E1405">
        <v>15</v>
      </c>
      <c r="F1405"/>
      <c r="H1405" s="4"/>
    </row>
    <row r="1406" spans="2:8" x14ac:dyDescent="0.25">
      <c r="B1406"/>
      <c r="C1406" s="1" t="s">
        <v>53</v>
      </c>
      <c r="D1406" s="6" t="s">
        <v>70</v>
      </c>
      <c r="E1406">
        <v>15</v>
      </c>
      <c r="F1406"/>
      <c r="H1406" s="4"/>
    </row>
    <row r="1407" spans="2:8" x14ac:dyDescent="0.25">
      <c r="B1407"/>
      <c r="C1407" s="1" t="s">
        <v>54</v>
      </c>
      <c r="D1407" s="6" t="s">
        <v>62</v>
      </c>
      <c r="E1407">
        <v>2</v>
      </c>
      <c r="F1407"/>
      <c r="H1407" s="4"/>
    </row>
    <row r="1408" spans="2:8" x14ac:dyDescent="0.25">
      <c r="B1408"/>
      <c r="C1408" s="1" t="s">
        <v>51</v>
      </c>
      <c r="D1408" s="6" t="s">
        <v>62</v>
      </c>
      <c r="E1408">
        <v>2</v>
      </c>
      <c r="F1408"/>
      <c r="H1408" s="4"/>
    </row>
    <row r="1409" spans="2:8" x14ac:dyDescent="0.25">
      <c r="B1409"/>
      <c r="C1409" s="1" t="s">
        <v>52</v>
      </c>
      <c r="D1409" s="6" t="s">
        <v>62</v>
      </c>
      <c r="E1409">
        <v>2</v>
      </c>
      <c r="F1409"/>
      <c r="H1409" s="4"/>
    </row>
    <row r="1410" spans="2:8" x14ac:dyDescent="0.25">
      <c r="B1410"/>
      <c r="C1410" s="1" t="s">
        <v>7</v>
      </c>
      <c r="D1410" s="6" t="s">
        <v>66</v>
      </c>
      <c r="E1410">
        <v>2.2999999999999998</v>
      </c>
      <c r="F1410"/>
      <c r="H1410" s="4"/>
    </row>
    <row r="1411" spans="2:8" x14ac:dyDescent="0.25">
      <c r="B1411"/>
      <c r="C1411" s="1" t="s">
        <v>53</v>
      </c>
      <c r="D1411" s="6" t="s">
        <v>66</v>
      </c>
      <c r="E1411">
        <v>2.2999999999999998</v>
      </c>
      <c r="F1411"/>
      <c r="H1411" s="4"/>
    </row>
    <row r="1412" spans="2:8" x14ac:dyDescent="0.25">
      <c r="B1412"/>
      <c r="C1412" s="1" t="s">
        <v>54</v>
      </c>
      <c r="D1412" s="6" t="s">
        <v>68</v>
      </c>
      <c r="E1412">
        <v>1.25</v>
      </c>
      <c r="F1412"/>
      <c r="H1412" s="4"/>
    </row>
    <row r="1413" spans="2:8" x14ac:dyDescent="0.25">
      <c r="B1413"/>
      <c r="C1413" s="1" t="s">
        <v>51</v>
      </c>
      <c r="D1413" s="6" t="s">
        <v>62</v>
      </c>
      <c r="E1413">
        <v>2</v>
      </c>
      <c r="F1413"/>
      <c r="H1413" s="4"/>
    </row>
    <row r="1414" spans="2:8" x14ac:dyDescent="0.25">
      <c r="B1414"/>
      <c r="C1414" s="1" t="s">
        <v>52</v>
      </c>
      <c r="D1414" s="6" t="s">
        <v>62</v>
      </c>
      <c r="E1414">
        <v>2</v>
      </c>
      <c r="F1414"/>
      <c r="H1414" s="4"/>
    </row>
    <row r="1415" spans="2:8" x14ac:dyDescent="0.25">
      <c r="B1415"/>
      <c r="C1415" s="1" t="s">
        <v>7</v>
      </c>
      <c r="D1415" s="6" t="s">
        <v>62</v>
      </c>
      <c r="E1415">
        <v>2</v>
      </c>
      <c r="F1415"/>
      <c r="H1415" s="4"/>
    </row>
    <row r="1416" spans="2:8" x14ac:dyDescent="0.25">
      <c r="B1416"/>
      <c r="C1416" s="1" t="s">
        <v>53</v>
      </c>
      <c r="D1416" s="6" t="s">
        <v>64</v>
      </c>
      <c r="E1416">
        <v>1.5</v>
      </c>
      <c r="F1416"/>
      <c r="H1416" s="4"/>
    </row>
    <row r="1417" spans="2:8" x14ac:dyDescent="0.25">
      <c r="B1417"/>
      <c r="C1417" s="1" t="s">
        <v>54</v>
      </c>
      <c r="D1417" s="6" t="s">
        <v>62</v>
      </c>
      <c r="E1417">
        <v>2</v>
      </c>
      <c r="F1417"/>
      <c r="H1417" s="4"/>
    </row>
    <row r="1418" spans="2:8" x14ac:dyDescent="0.25">
      <c r="B1418"/>
      <c r="C1418" s="1" t="s">
        <v>51</v>
      </c>
      <c r="D1418" s="6" t="s">
        <v>62</v>
      </c>
      <c r="E1418">
        <v>2</v>
      </c>
      <c r="F1418"/>
      <c r="H1418" s="4"/>
    </row>
    <row r="1419" spans="2:8" x14ac:dyDescent="0.25">
      <c r="B1419"/>
      <c r="C1419" s="1" t="s">
        <v>52</v>
      </c>
      <c r="D1419" s="6" t="s">
        <v>62</v>
      </c>
      <c r="E1419">
        <v>2</v>
      </c>
      <c r="F1419"/>
      <c r="H1419" s="4"/>
    </row>
    <row r="1420" spans="2:8" x14ac:dyDescent="0.25">
      <c r="B1420"/>
      <c r="C1420" s="1" t="s">
        <v>7</v>
      </c>
      <c r="D1420" s="6" t="s">
        <v>64</v>
      </c>
      <c r="E1420">
        <v>1.5</v>
      </c>
      <c r="F1420"/>
      <c r="H1420" s="4"/>
    </row>
    <row r="1421" spans="2:8" x14ac:dyDescent="0.25">
      <c r="B1421"/>
      <c r="C1421" s="1" t="s">
        <v>53</v>
      </c>
      <c r="D1421" s="6" t="s">
        <v>62</v>
      </c>
      <c r="E1421">
        <v>2</v>
      </c>
      <c r="F1421"/>
      <c r="H1421" s="4"/>
    </row>
    <row r="1422" spans="2:8" x14ac:dyDescent="0.25">
      <c r="B1422"/>
      <c r="C1422" s="1" t="s">
        <v>54</v>
      </c>
      <c r="D1422" s="6" t="s">
        <v>64</v>
      </c>
      <c r="E1422">
        <v>1.5</v>
      </c>
      <c r="F1422"/>
      <c r="H1422" s="4"/>
    </row>
    <row r="1423" spans="2:8" x14ac:dyDescent="0.25">
      <c r="B1423"/>
      <c r="C1423" s="1" t="s">
        <v>51</v>
      </c>
      <c r="D1423" s="6" t="s">
        <v>64</v>
      </c>
      <c r="E1423">
        <v>1.5</v>
      </c>
      <c r="F1423"/>
      <c r="H1423" s="4"/>
    </row>
    <row r="1424" spans="2:8" x14ac:dyDescent="0.25">
      <c r="B1424"/>
      <c r="C1424" s="1" t="s">
        <v>52</v>
      </c>
      <c r="D1424" s="6" t="s">
        <v>62</v>
      </c>
      <c r="E1424">
        <v>2</v>
      </c>
      <c r="F1424"/>
      <c r="H1424" s="4"/>
    </row>
    <row r="1425" spans="2:8" x14ac:dyDescent="0.25">
      <c r="B1425"/>
      <c r="C1425" s="1" t="s">
        <v>7</v>
      </c>
      <c r="D1425" s="6" t="s">
        <v>64</v>
      </c>
      <c r="E1425">
        <v>1.5</v>
      </c>
      <c r="F1425"/>
      <c r="H1425" s="4"/>
    </row>
    <row r="1426" spans="2:8" x14ac:dyDescent="0.25">
      <c r="B1426"/>
      <c r="C1426" s="1" t="s">
        <v>53</v>
      </c>
      <c r="D1426" s="6" t="s">
        <v>64</v>
      </c>
      <c r="E1426">
        <v>1.5</v>
      </c>
      <c r="F1426"/>
      <c r="H1426" s="4"/>
    </row>
    <row r="1427" spans="2:8" x14ac:dyDescent="0.25">
      <c r="B1427"/>
      <c r="C1427" s="1" t="s">
        <v>54</v>
      </c>
      <c r="D1427" s="6" t="s">
        <v>62</v>
      </c>
      <c r="E1427">
        <v>2</v>
      </c>
      <c r="F1427"/>
      <c r="H1427" s="4"/>
    </row>
    <row r="1428" spans="2:8" x14ac:dyDescent="0.25">
      <c r="B1428"/>
      <c r="C1428" s="1" t="s">
        <v>51</v>
      </c>
      <c r="D1428" s="6" t="s">
        <v>69</v>
      </c>
      <c r="E1428">
        <v>1</v>
      </c>
      <c r="F1428"/>
      <c r="H1428" s="4"/>
    </row>
    <row r="1429" spans="2:8" x14ac:dyDescent="0.25">
      <c r="B1429"/>
      <c r="C1429" s="1" t="s">
        <v>52</v>
      </c>
      <c r="D1429" s="6" t="s">
        <v>69</v>
      </c>
      <c r="E1429">
        <v>1</v>
      </c>
      <c r="F1429"/>
      <c r="H1429" s="4"/>
    </row>
    <row r="1430" spans="2:8" x14ac:dyDescent="0.25">
      <c r="B1430"/>
      <c r="C1430" s="1" t="s">
        <v>7</v>
      </c>
      <c r="D1430" s="6" t="s">
        <v>91</v>
      </c>
      <c r="E1430">
        <v>0</v>
      </c>
      <c r="F1430"/>
      <c r="H1430" s="4"/>
    </row>
    <row r="1431" spans="2:8" x14ac:dyDescent="0.25">
      <c r="B1431"/>
      <c r="C1431" s="1" t="s">
        <v>53</v>
      </c>
      <c r="D1431" s="6" t="s">
        <v>68</v>
      </c>
      <c r="E1431">
        <v>1.25</v>
      </c>
      <c r="F1431"/>
      <c r="H1431" s="4"/>
    </row>
    <row r="1432" spans="2:8" x14ac:dyDescent="0.25">
      <c r="B1432"/>
      <c r="C1432" s="1" t="s">
        <v>54</v>
      </c>
      <c r="D1432" s="6" t="s">
        <v>62</v>
      </c>
      <c r="E1432">
        <v>2</v>
      </c>
      <c r="F1432"/>
      <c r="H1432" s="4"/>
    </row>
    <row r="1433" spans="2:8" x14ac:dyDescent="0.25">
      <c r="B1433"/>
      <c r="C1433" s="1" t="s">
        <v>51</v>
      </c>
      <c r="D1433" s="6" t="s">
        <v>64</v>
      </c>
      <c r="E1433">
        <v>1.5</v>
      </c>
      <c r="F1433"/>
      <c r="H1433" s="4"/>
    </row>
    <row r="1434" spans="2:8" x14ac:dyDescent="0.25">
      <c r="B1434"/>
      <c r="C1434" s="1" t="s">
        <v>52</v>
      </c>
      <c r="D1434" s="6" t="s">
        <v>63</v>
      </c>
      <c r="E1434">
        <v>1</v>
      </c>
      <c r="F1434"/>
      <c r="H1434" s="4"/>
    </row>
    <row r="1435" spans="2:8" x14ac:dyDescent="0.25">
      <c r="B1435"/>
      <c r="C1435" s="1" t="s">
        <v>7</v>
      </c>
      <c r="D1435" s="6" t="s">
        <v>65</v>
      </c>
      <c r="E1435">
        <v>2</v>
      </c>
      <c r="F1435"/>
      <c r="H1435" s="4"/>
    </row>
    <row r="1436" spans="2:8" x14ac:dyDescent="0.25">
      <c r="B1436"/>
      <c r="C1436" s="1" t="s">
        <v>53</v>
      </c>
      <c r="D1436" s="6" t="s">
        <v>62</v>
      </c>
      <c r="E1436">
        <v>2</v>
      </c>
      <c r="F1436"/>
      <c r="H1436" s="4"/>
    </row>
    <row r="1437" spans="2:8" x14ac:dyDescent="0.25">
      <c r="B1437"/>
      <c r="C1437" s="1" t="s">
        <v>54</v>
      </c>
      <c r="D1437" s="6" t="s">
        <v>62</v>
      </c>
      <c r="E1437">
        <v>2</v>
      </c>
      <c r="F1437"/>
      <c r="H1437" s="4"/>
    </row>
    <row r="1438" spans="2:8" x14ac:dyDescent="0.25">
      <c r="B1438"/>
      <c r="C1438" s="1" t="s">
        <v>51</v>
      </c>
      <c r="D1438" s="6" t="s">
        <v>66</v>
      </c>
      <c r="E1438">
        <v>2.2999999999999998</v>
      </c>
      <c r="F1438"/>
      <c r="H1438" s="4"/>
    </row>
    <row r="1439" spans="2:8" x14ac:dyDescent="0.25">
      <c r="B1439"/>
      <c r="C1439" s="1" t="s">
        <v>52</v>
      </c>
      <c r="D1439" s="6" t="s">
        <v>62</v>
      </c>
      <c r="E1439">
        <v>2</v>
      </c>
      <c r="F1439"/>
      <c r="H1439" s="4"/>
    </row>
    <row r="1440" spans="2:8" x14ac:dyDescent="0.25">
      <c r="B1440"/>
      <c r="C1440" s="1" t="s">
        <v>7</v>
      </c>
      <c r="D1440" s="6" t="s">
        <v>63</v>
      </c>
      <c r="E1440">
        <v>1</v>
      </c>
      <c r="F1440"/>
      <c r="H1440" s="4"/>
    </row>
    <row r="1441" spans="2:8" x14ac:dyDescent="0.25">
      <c r="B1441"/>
      <c r="C1441" s="1" t="s">
        <v>53</v>
      </c>
      <c r="D1441" s="6" t="s">
        <v>62</v>
      </c>
      <c r="E1441">
        <v>2</v>
      </c>
      <c r="F1441"/>
      <c r="H1441" s="4"/>
    </row>
    <row r="1442" spans="2:8" x14ac:dyDescent="0.25">
      <c r="B1442"/>
      <c r="C1442" s="1" t="s">
        <v>54</v>
      </c>
      <c r="D1442" s="6" t="s">
        <v>64</v>
      </c>
      <c r="E1442">
        <v>1.5</v>
      </c>
      <c r="F1442"/>
      <c r="H1442" s="4"/>
    </row>
    <row r="1443" spans="2:8" x14ac:dyDescent="0.25">
      <c r="B1443"/>
      <c r="C1443" s="1" t="s">
        <v>51</v>
      </c>
      <c r="D1443" s="6" t="s">
        <v>67</v>
      </c>
      <c r="E1443">
        <v>3</v>
      </c>
      <c r="F1443"/>
      <c r="H1443" s="4"/>
    </row>
    <row r="1444" spans="2:8" x14ac:dyDescent="0.25">
      <c r="B1444"/>
      <c r="C1444" s="1" t="s">
        <v>52</v>
      </c>
      <c r="D1444" s="6" t="s">
        <v>65</v>
      </c>
      <c r="E1444">
        <v>2</v>
      </c>
      <c r="F1444"/>
      <c r="H1444" s="4"/>
    </row>
    <row r="1445" spans="2:8" x14ac:dyDescent="0.25">
      <c r="B1445"/>
      <c r="C1445" s="1" t="s">
        <v>7</v>
      </c>
      <c r="D1445" s="6" t="s">
        <v>62</v>
      </c>
      <c r="E1445">
        <v>2</v>
      </c>
      <c r="F1445"/>
      <c r="H1445" s="4"/>
    </row>
    <row r="1446" spans="2:8" x14ac:dyDescent="0.25">
      <c r="B1446"/>
      <c r="C1446" s="1" t="s">
        <v>53</v>
      </c>
      <c r="D1446" s="6" t="s">
        <v>62</v>
      </c>
      <c r="E1446">
        <v>2</v>
      </c>
      <c r="F1446"/>
      <c r="H1446" s="4"/>
    </row>
    <row r="1447" spans="2:8" x14ac:dyDescent="0.25">
      <c r="B1447"/>
      <c r="C1447" s="1" t="s">
        <v>54</v>
      </c>
      <c r="D1447" s="6" t="s">
        <v>64</v>
      </c>
      <c r="E1447">
        <v>1.5</v>
      </c>
      <c r="F1447"/>
      <c r="H1447" s="4"/>
    </row>
    <row r="1448" spans="2:8" x14ac:dyDescent="0.25">
      <c r="B1448"/>
      <c r="C1448" s="1" t="s">
        <v>51</v>
      </c>
      <c r="D1448" s="6" t="s">
        <v>69</v>
      </c>
      <c r="E1448">
        <v>1</v>
      </c>
      <c r="F1448"/>
      <c r="H1448" s="4"/>
    </row>
    <row r="1449" spans="2:8" x14ac:dyDescent="0.25">
      <c r="B1449"/>
      <c r="C1449" s="1" t="s">
        <v>52</v>
      </c>
      <c r="D1449" s="6" t="s">
        <v>62</v>
      </c>
      <c r="E1449">
        <v>2</v>
      </c>
      <c r="F1449"/>
      <c r="H1449" s="4"/>
    </row>
    <row r="1450" spans="2:8" x14ac:dyDescent="0.25">
      <c r="B1450"/>
      <c r="C1450" s="1" t="s">
        <v>7</v>
      </c>
      <c r="D1450" s="6" t="s">
        <v>71</v>
      </c>
      <c r="E1450">
        <v>2.5</v>
      </c>
      <c r="F1450"/>
      <c r="H1450" s="4"/>
    </row>
    <row r="1451" spans="2:8" x14ac:dyDescent="0.25">
      <c r="B1451"/>
      <c r="C1451" s="1" t="s">
        <v>53</v>
      </c>
      <c r="D1451" s="6" t="s">
        <v>62</v>
      </c>
      <c r="E1451">
        <v>2</v>
      </c>
      <c r="F1451"/>
      <c r="H1451" s="4"/>
    </row>
    <row r="1452" spans="2:8" x14ac:dyDescent="0.25">
      <c r="B1452"/>
      <c r="C1452" s="1" t="s">
        <v>54</v>
      </c>
      <c r="D1452" s="6" t="s">
        <v>62</v>
      </c>
      <c r="E1452">
        <v>2</v>
      </c>
      <c r="F1452"/>
      <c r="H1452" s="4"/>
    </row>
    <row r="1453" spans="2:8" x14ac:dyDescent="0.25">
      <c r="B1453"/>
      <c r="C1453" s="1" t="s">
        <v>51</v>
      </c>
      <c r="D1453" s="6" t="s">
        <v>62</v>
      </c>
      <c r="E1453">
        <v>2</v>
      </c>
      <c r="F1453"/>
      <c r="H1453" s="4"/>
    </row>
    <row r="1454" spans="2:8" x14ac:dyDescent="0.25">
      <c r="B1454"/>
      <c r="C1454" s="1" t="s">
        <v>52</v>
      </c>
      <c r="D1454" s="6" t="s">
        <v>62</v>
      </c>
      <c r="E1454">
        <v>2</v>
      </c>
      <c r="F1454"/>
      <c r="H1454" s="4"/>
    </row>
    <row r="1455" spans="2:8" x14ac:dyDescent="0.25">
      <c r="B1455"/>
      <c r="C1455" s="1" t="s">
        <v>7</v>
      </c>
      <c r="D1455" s="6" t="s">
        <v>62</v>
      </c>
      <c r="E1455">
        <v>2</v>
      </c>
      <c r="F1455"/>
      <c r="H1455" s="4"/>
    </row>
    <row r="1456" spans="2:8" x14ac:dyDescent="0.25">
      <c r="B1456"/>
      <c r="C1456" s="1" t="s">
        <v>53</v>
      </c>
      <c r="D1456" s="6" t="s">
        <v>62</v>
      </c>
      <c r="E1456">
        <v>2</v>
      </c>
      <c r="F1456"/>
      <c r="H1456" s="4"/>
    </row>
    <row r="1457" spans="2:8" x14ac:dyDescent="0.25">
      <c r="B1457"/>
      <c r="C1457" s="1" t="s">
        <v>54</v>
      </c>
      <c r="D1457" s="6" t="s">
        <v>62</v>
      </c>
      <c r="E1457">
        <v>2</v>
      </c>
      <c r="F1457"/>
      <c r="H1457" s="4"/>
    </row>
    <row r="1458" spans="2:8" x14ac:dyDescent="0.25">
      <c r="B1458"/>
      <c r="C1458" s="1" t="s">
        <v>51</v>
      </c>
      <c r="D1458" s="6" t="s">
        <v>64</v>
      </c>
      <c r="E1458">
        <v>1.5</v>
      </c>
      <c r="F1458"/>
      <c r="H1458" s="4"/>
    </row>
    <row r="1459" spans="2:8" x14ac:dyDescent="0.25">
      <c r="B1459"/>
      <c r="C1459" s="1" t="s">
        <v>52</v>
      </c>
      <c r="D1459" s="6" t="s">
        <v>98</v>
      </c>
      <c r="E1459">
        <v>2.7</v>
      </c>
      <c r="F1459"/>
      <c r="H1459" s="4"/>
    </row>
    <row r="1460" spans="2:8" x14ac:dyDescent="0.25">
      <c r="B1460"/>
      <c r="C1460" s="1" t="s">
        <v>7</v>
      </c>
      <c r="D1460" s="6" t="s">
        <v>62</v>
      </c>
      <c r="E1460">
        <v>2</v>
      </c>
      <c r="F1460"/>
      <c r="H1460" s="4"/>
    </row>
    <row r="1461" spans="2:8" x14ac:dyDescent="0.25">
      <c r="B1461"/>
      <c r="C1461" s="1" t="s">
        <v>53</v>
      </c>
      <c r="D1461" s="6" t="s">
        <v>64</v>
      </c>
      <c r="E1461">
        <v>1.5</v>
      </c>
      <c r="F1461"/>
      <c r="H1461" s="4"/>
    </row>
    <row r="1462" spans="2:8" x14ac:dyDescent="0.25">
      <c r="B1462"/>
      <c r="C1462" s="1" t="s">
        <v>54</v>
      </c>
      <c r="D1462" s="6" t="s">
        <v>62</v>
      </c>
      <c r="E1462">
        <v>2</v>
      </c>
      <c r="F1462"/>
      <c r="H1462" s="4"/>
    </row>
    <row r="1463" spans="2:8" x14ac:dyDescent="0.25">
      <c r="B1463"/>
      <c r="C1463" s="1" t="s">
        <v>51</v>
      </c>
      <c r="D1463" s="6" t="s">
        <v>69</v>
      </c>
      <c r="E1463">
        <v>1</v>
      </c>
      <c r="F1463"/>
      <c r="H1463" s="4"/>
    </row>
    <row r="1464" spans="2:8" x14ac:dyDescent="0.25">
      <c r="B1464"/>
      <c r="C1464" s="1" t="s">
        <v>52</v>
      </c>
      <c r="D1464" s="6" t="s">
        <v>75</v>
      </c>
      <c r="E1464">
        <v>16</v>
      </c>
      <c r="F1464"/>
      <c r="H1464" s="4"/>
    </row>
    <row r="1465" spans="2:8" x14ac:dyDescent="0.25">
      <c r="B1465"/>
      <c r="C1465" s="1" t="s">
        <v>7</v>
      </c>
      <c r="D1465" s="6" t="s">
        <v>75</v>
      </c>
      <c r="E1465">
        <v>16</v>
      </c>
      <c r="F1465"/>
      <c r="H1465" s="4"/>
    </row>
    <row r="1466" spans="2:8" x14ac:dyDescent="0.25">
      <c r="B1466"/>
      <c r="C1466" s="1" t="s">
        <v>53</v>
      </c>
      <c r="D1466" s="6" t="s">
        <v>75</v>
      </c>
      <c r="E1466">
        <v>16</v>
      </c>
      <c r="F1466"/>
      <c r="H1466" s="4"/>
    </row>
    <row r="1467" spans="2:8" x14ac:dyDescent="0.25">
      <c r="B1467"/>
      <c r="C1467" s="1" t="s">
        <v>54</v>
      </c>
      <c r="D1467" s="6" t="s">
        <v>75</v>
      </c>
      <c r="E1467">
        <v>16</v>
      </c>
      <c r="F1467"/>
      <c r="H1467" s="4"/>
    </row>
    <row r="1468" spans="2:8" x14ac:dyDescent="0.25">
      <c r="B1468"/>
      <c r="C1468" s="1" t="s">
        <v>51</v>
      </c>
      <c r="D1468" s="6" t="s">
        <v>75</v>
      </c>
      <c r="E1468">
        <v>16</v>
      </c>
      <c r="F1468"/>
      <c r="H1468" s="4"/>
    </row>
    <row r="1469" spans="2:8" x14ac:dyDescent="0.25">
      <c r="B1469"/>
      <c r="C1469" s="1" t="s">
        <v>52</v>
      </c>
      <c r="D1469" s="6" t="s">
        <v>62</v>
      </c>
      <c r="E1469">
        <v>2</v>
      </c>
      <c r="F1469"/>
      <c r="H1469" s="4"/>
    </row>
    <row r="1470" spans="2:8" x14ac:dyDescent="0.25">
      <c r="E1470">
        <f>SUM(_xlfn.ANCHORARRAY(E8))</f>
        <v>4023.1630000000082</v>
      </c>
    </row>
  </sheetData>
  <hyperlinks>
    <hyperlink ref="N4" location="'C'!A1" display="NEXT QUESTION" xr:uid="{00000000-0004-0000-0100-000000000000}"/>
  </hyperlink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4:Q37"/>
  <sheetViews>
    <sheetView showGridLines="0" topLeftCell="A4" workbookViewId="0">
      <selection activeCell="H16" sqref="H16"/>
    </sheetView>
  </sheetViews>
  <sheetFormatPr defaultRowHeight="15" x14ac:dyDescent="0.25"/>
  <cols>
    <col min="1" max="1" width="12.5703125" bestFit="1" customWidth="1"/>
    <col min="2" max="2" width="10.5703125" bestFit="1" customWidth="1"/>
    <col min="6" max="6" width="12.5703125" bestFit="1" customWidth="1"/>
    <col min="7" max="7" width="6.42578125" customWidth="1"/>
    <col min="8" max="8" width="9.5703125" bestFit="1" customWidth="1"/>
    <col min="13" max="13" width="5.140625" customWidth="1"/>
  </cols>
  <sheetData>
    <row r="4" spans="1:17" x14ac:dyDescent="0.25">
      <c r="A4" s="29"/>
      <c r="Q4" s="7" t="s">
        <v>9</v>
      </c>
    </row>
    <row r="5" spans="1:17" x14ac:dyDescent="0.25">
      <c r="A5" s="29" t="s">
        <v>159</v>
      </c>
    </row>
    <row r="7" spans="1:17" x14ac:dyDescent="0.25">
      <c r="A7" t="s">
        <v>1106</v>
      </c>
    </row>
    <row r="8" spans="1:17" x14ac:dyDescent="0.25">
      <c r="A8" t="s">
        <v>1107</v>
      </c>
    </row>
    <row r="11" spans="1:17" x14ac:dyDescent="0.25">
      <c r="A11" s="57" t="s">
        <v>152</v>
      </c>
      <c r="B11" s="57" t="s">
        <v>157</v>
      </c>
      <c r="F11" s="57" t="s">
        <v>152</v>
      </c>
      <c r="G11" s="57" t="s">
        <v>160</v>
      </c>
      <c r="H11" s="57" t="s">
        <v>161</v>
      </c>
    </row>
    <row r="12" spans="1:17" x14ac:dyDescent="0.25">
      <c r="A12" s="6" t="s">
        <v>153</v>
      </c>
      <c r="B12" s="6">
        <v>557</v>
      </c>
      <c r="F12" s="6" t="s">
        <v>153</v>
      </c>
      <c r="G12" s="6">
        <f>COUNTIF($A$12:$A$37,F12)</f>
        <v>3</v>
      </c>
      <c r="H12" s="6">
        <f>SUMIFS($B$12:$B$37,$A$12:$A$37,F12)</f>
        <v>2029</v>
      </c>
    </row>
    <row r="13" spans="1:17" x14ac:dyDescent="0.25">
      <c r="A13" s="6" t="s">
        <v>154</v>
      </c>
      <c r="B13" s="6">
        <v>693</v>
      </c>
      <c r="F13" s="6" t="s">
        <v>154</v>
      </c>
      <c r="G13" s="6">
        <f t="shared" ref="G13:G16" si="0">COUNTIF($A$12:$A$37,F13)</f>
        <v>5</v>
      </c>
      <c r="H13" s="6">
        <f>SUMIFS($B$12:$B$37,$A$12:$A$37,F13)</f>
        <v>2349</v>
      </c>
    </row>
    <row r="14" spans="1:17" x14ac:dyDescent="0.25">
      <c r="A14" s="6" t="s">
        <v>155</v>
      </c>
      <c r="B14" s="6">
        <v>673</v>
      </c>
      <c r="F14" s="6" t="s">
        <v>155</v>
      </c>
      <c r="G14" s="6">
        <f t="shared" si="0"/>
        <v>6</v>
      </c>
      <c r="H14" s="6">
        <f t="shared" ref="H14:H16" si="1">SUMIFS($B$12:$B$37,$A$12:$A$37,F14)</f>
        <v>3950</v>
      </c>
    </row>
    <row r="15" spans="1:17" x14ac:dyDescent="0.25">
      <c r="A15" s="6" t="s">
        <v>156</v>
      </c>
      <c r="B15" s="6">
        <v>308</v>
      </c>
      <c r="F15" s="6" t="s">
        <v>156</v>
      </c>
      <c r="G15" s="6">
        <f t="shared" si="0"/>
        <v>6</v>
      </c>
      <c r="H15" s="6">
        <f t="shared" si="1"/>
        <v>3509</v>
      </c>
    </row>
    <row r="16" spans="1:17" x14ac:dyDescent="0.25">
      <c r="A16" s="6" t="s">
        <v>158</v>
      </c>
      <c r="B16" s="6">
        <v>457</v>
      </c>
      <c r="F16" s="6" t="s">
        <v>158</v>
      </c>
      <c r="G16" s="6">
        <f t="shared" si="0"/>
        <v>6</v>
      </c>
      <c r="H16" s="6">
        <f t="shared" si="1"/>
        <v>3138</v>
      </c>
    </row>
    <row r="17" spans="1:9" x14ac:dyDescent="0.25">
      <c r="A17" s="6" t="s">
        <v>153</v>
      </c>
      <c r="B17" s="6">
        <v>968</v>
      </c>
    </row>
    <row r="18" spans="1:9" x14ac:dyDescent="0.25">
      <c r="A18" s="6" t="s">
        <v>154</v>
      </c>
      <c r="B18" s="6">
        <v>768</v>
      </c>
    </row>
    <row r="19" spans="1:9" x14ac:dyDescent="0.25">
      <c r="A19" s="6" t="s">
        <v>155</v>
      </c>
      <c r="B19" s="6">
        <v>585</v>
      </c>
    </row>
    <row r="20" spans="1:9" x14ac:dyDescent="0.25">
      <c r="A20" s="6" t="s">
        <v>156</v>
      </c>
      <c r="B20" s="6">
        <v>593</v>
      </c>
    </row>
    <row r="21" spans="1:9" x14ac:dyDescent="0.25">
      <c r="A21" s="6" t="s">
        <v>158</v>
      </c>
      <c r="B21" s="6">
        <v>459</v>
      </c>
    </row>
    <row r="22" spans="1:9" x14ac:dyDescent="0.25">
      <c r="A22" s="6" t="s">
        <v>154</v>
      </c>
      <c r="B22" s="6">
        <v>229</v>
      </c>
    </row>
    <row r="23" spans="1:9" x14ac:dyDescent="0.25">
      <c r="A23" s="6" t="s">
        <v>155</v>
      </c>
      <c r="B23" s="6">
        <v>980</v>
      </c>
    </row>
    <row r="24" spans="1:9" x14ac:dyDescent="0.25">
      <c r="A24" s="6" t="s">
        <v>156</v>
      </c>
      <c r="B24" s="6">
        <v>799</v>
      </c>
    </row>
    <row r="25" spans="1:9" x14ac:dyDescent="0.25">
      <c r="A25" s="6" t="s">
        <v>158</v>
      </c>
      <c r="B25" s="6">
        <v>256</v>
      </c>
    </row>
    <row r="26" spans="1:9" x14ac:dyDescent="0.25">
      <c r="A26" s="6" t="s">
        <v>155</v>
      </c>
      <c r="B26" s="6">
        <v>396</v>
      </c>
    </row>
    <row r="27" spans="1:9" x14ac:dyDescent="0.25">
      <c r="A27" s="6" t="s">
        <v>156</v>
      </c>
      <c r="B27" s="6">
        <v>686</v>
      </c>
    </row>
    <row r="28" spans="1:9" x14ac:dyDescent="0.25">
      <c r="A28" s="6" t="s">
        <v>158</v>
      </c>
      <c r="B28" s="6">
        <v>424</v>
      </c>
      <c r="H28" s="4"/>
      <c r="I28" s="4"/>
    </row>
    <row r="29" spans="1:9" x14ac:dyDescent="0.25">
      <c r="A29" s="6" t="s">
        <v>153</v>
      </c>
      <c r="B29" s="6">
        <v>504</v>
      </c>
    </row>
    <row r="30" spans="1:9" x14ac:dyDescent="0.25">
      <c r="A30" s="6" t="s">
        <v>154</v>
      </c>
      <c r="B30" s="6">
        <v>382</v>
      </c>
    </row>
    <row r="31" spans="1:9" x14ac:dyDescent="0.25">
      <c r="A31" s="6" t="s">
        <v>155</v>
      </c>
      <c r="B31" s="6">
        <v>486</v>
      </c>
    </row>
    <row r="32" spans="1:9" x14ac:dyDescent="0.25">
      <c r="A32" s="6" t="s">
        <v>156</v>
      </c>
      <c r="B32" s="6">
        <v>331</v>
      </c>
    </row>
    <row r="33" spans="1:2" x14ac:dyDescent="0.25">
      <c r="A33" s="6" t="s">
        <v>158</v>
      </c>
      <c r="B33" s="6">
        <v>567</v>
      </c>
    </row>
    <row r="34" spans="1:2" x14ac:dyDescent="0.25">
      <c r="A34" s="6" t="s">
        <v>154</v>
      </c>
      <c r="B34" s="6">
        <v>277</v>
      </c>
    </row>
    <row r="35" spans="1:2" x14ac:dyDescent="0.25">
      <c r="A35" s="6" t="s">
        <v>155</v>
      </c>
      <c r="B35" s="6">
        <v>830</v>
      </c>
    </row>
    <row r="36" spans="1:2" x14ac:dyDescent="0.25">
      <c r="A36" s="6" t="s">
        <v>156</v>
      </c>
      <c r="B36" s="6">
        <v>792</v>
      </c>
    </row>
    <row r="37" spans="1:2" x14ac:dyDescent="0.25">
      <c r="A37" s="6" t="s">
        <v>158</v>
      </c>
      <c r="B37" s="6">
        <v>975</v>
      </c>
    </row>
  </sheetData>
  <hyperlinks>
    <hyperlink ref="Q4" location="D!A1" display="NEXT QUESTION" xr:uid="{00000000-0004-0000-0200-000000000000}"/>
  </hyperlinks>
  <pageMargins left="0.7" right="0.7" top="0.75" bottom="0.75" header="0.3" footer="0.3"/>
  <pageSetup paperSize="1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4:R24"/>
  <sheetViews>
    <sheetView showGridLines="0" topLeftCell="A4" workbookViewId="0">
      <selection activeCell="B17" sqref="B17"/>
    </sheetView>
  </sheetViews>
  <sheetFormatPr defaultColWidth="8.7109375" defaultRowHeight="15" x14ac:dyDescent="0.25"/>
  <cols>
    <col min="2" max="2" width="11" customWidth="1"/>
    <col min="13" max="13" width="5.140625" customWidth="1"/>
  </cols>
  <sheetData>
    <row r="4" spans="1:18" x14ac:dyDescent="0.25">
      <c r="R4" s="60" t="s">
        <v>9</v>
      </c>
    </row>
    <row r="5" spans="1:18" x14ac:dyDescent="0.25">
      <c r="A5" s="29" t="s">
        <v>148</v>
      </c>
      <c r="R5" s="60"/>
    </row>
    <row r="7" spans="1:18" x14ac:dyDescent="0.25">
      <c r="A7" s="61" t="s">
        <v>39</v>
      </c>
    </row>
    <row r="9" spans="1:18" x14ac:dyDescent="0.25">
      <c r="B9" s="6" t="s">
        <v>40</v>
      </c>
      <c r="C9" s="6">
        <v>-12</v>
      </c>
    </row>
    <row r="10" spans="1:18" x14ac:dyDescent="0.25">
      <c r="B10" s="6" t="s">
        <v>41</v>
      </c>
      <c r="C10" s="6">
        <v>8</v>
      </c>
    </row>
    <row r="11" spans="1:18" x14ac:dyDescent="0.25">
      <c r="B11" s="6" t="s">
        <v>42</v>
      </c>
      <c r="C11" s="6">
        <v>23</v>
      </c>
    </row>
    <row r="12" spans="1:18" x14ac:dyDescent="0.25">
      <c r="B12" s="6" t="s">
        <v>43</v>
      </c>
      <c r="C12" s="6">
        <v>-3</v>
      </c>
    </row>
    <row r="15" spans="1:18" x14ac:dyDescent="0.25">
      <c r="A15" s="62" t="s">
        <v>1188</v>
      </c>
    </row>
    <row r="17" spans="1:9" x14ac:dyDescent="0.25">
      <c r="B17" t="s">
        <v>44</v>
      </c>
      <c r="C17">
        <f>LEN(B17)</f>
        <v>5</v>
      </c>
    </row>
    <row r="18" spans="1:9" x14ac:dyDescent="0.25">
      <c r="B18" t="s">
        <v>45</v>
      </c>
      <c r="C18">
        <f t="shared" ref="C18:C21" si="0">LEN(B18)</f>
        <v>10</v>
      </c>
    </row>
    <row r="19" spans="1:9" x14ac:dyDescent="0.25">
      <c r="B19" t="s">
        <v>46</v>
      </c>
      <c r="C19">
        <f t="shared" si="0"/>
        <v>4</v>
      </c>
    </row>
    <row r="20" spans="1:9" x14ac:dyDescent="0.25">
      <c r="B20" t="s">
        <v>47</v>
      </c>
      <c r="C20">
        <f t="shared" si="0"/>
        <v>3</v>
      </c>
    </row>
    <row r="21" spans="1:9" x14ac:dyDescent="0.25">
      <c r="B21" t="s">
        <v>48</v>
      </c>
      <c r="C21">
        <f t="shared" si="0"/>
        <v>8</v>
      </c>
    </row>
    <row r="24" spans="1:9" x14ac:dyDescent="0.25">
      <c r="A24" s="9"/>
      <c r="H24" s="4"/>
      <c r="I24" s="4"/>
    </row>
  </sheetData>
  <conditionalFormatting sqref="C9:C12">
    <cfRule type="cellIs" dxfId="2" priority="2" operator="lessThan">
      <formula>0</formula>
    </cfRule>
    <cfRule type="cellIs" dxfId="1" priority="3" operator="greaterThan">
      <formula>0</formula>
    </cfRule>
  </conditionalFormatting>
  <conditionalFormatting sqref="B17:B21">
    <cfRule type="expression" dxfId="0" priority="1">
      <formula>LEN(B17)&gt;8</formula>
    </cfRule>
  </conditionalFormatting>
  <hyperlinks>
    <hyperlink ref="R4" location="E!A1" display="NEXT QUESTION" xr:uid="{00000000-0004-0000-0300-000000000000}"/>
  </hyperlinks>
  <pageMargins left="0.7" right="0.7" top="0.75" bottom="0.75" header="0.3" footer="0.3"/>
  <pageSetup paperSize="1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O37"/>
  <sheetViews>
    <sheetView showGridLines="0" topLeftCell="A21" workbookViewId="0">
      <selection activeCell="L31" sqref="L31"/>
    </sheetView>
  </sheetViews>
  <sheetFormatPr defaultRowHeight="15" x14ac:dyDescent="0.25"/>
  <cols>
    <col min="8" max="8" width="11.42578125" style="4" bestFit="1" customWidth="1"/>
    <col min="9" max="9" width="14.140625" style="4" customWidth="1"/>
    <col min="10" max="10" width="17.85546875" style="4" customWidth="1"/>
    <col min="13" max="14" width="11.42578125" bestFit="1" customWidth="1"/>
    <col min="15" max="15" width="5.42578125" customWidth="1"/>
    <col min="16" max="16" width="5.140625" customWidth="1"/>
  </cols>
  <sheetData>
    <row r="1" spans="1:15" x14ac:dyDescent="0.25">
      <c r="F1" s="83"/>
      <c r="G1" s="83"/>
      <c r="H1" s="83"/>
      <c r="I1" s="83"/>
      <c r="J1" s="83"/>
      <c r="K1" s="83"/>
    </row>
    <row r="2" spans="1:15" x14ac:dyDescent="0.25">
      <c r="F2" s="83"/>
      <c r="G2" s="83"/>
      <c r="H2" s="83"/>
      <c r="I2" s="83"/>
      <c r="J2" s="83"/>
      <c r="K2" s="83"/>
    </row>
    <row r="4" spans="1:15" x14ac:dyDescent="0.25">
      <c r="O4" s="7" t="s">
        <v>9</v>
      </c>
    </row>
    <row r="6" spans="1:15" x14ac:dyDescent="0.25">
      <c r="A6" s="29" t="s">
        <v>130</v>
      </c>
    </row>
    <row r="7" spans="1:15" x14ac:dyDescent="0.25">
      <c r="A7" t="s">
        <v>1218</v>
      </c>
    </row>
    <row r="9" spans="1:15" x14ac:dyDescent="0.25">
      <c r="C9" s="29" t="s">
        <v>149</v>
      </c>
    </row>
    <row r="10" spans="1:15" x14ac:dyDescent="0.25">
      <c r="M10" s="84" t="s">
        <v>120</v>
      </c>
      <c r="N10" s="84"/>
      <c r="O10" s="84"/>
    </row>
    <row r="11" spans="1:15" x14ac:dyDescent="0.25">
      <c r="C11" t="s">
        <v>110</v>
      </c>
      <c r="G11" s="5" t="s">
        <v>0</v>
      </c>
      <c r="H11" s="5" t="s">
        <v>1</v>
      </c>
      <c r="I11" s="5" t="s">
        <v>109</v>
      </c>
      <c r="J11"/>
      <c r="M11" s="30" t="s">
        <v>107</v>
      </c>
      <c r="N11" s="30" t="s">
        <v>108</v>
      </c>
      <c r="O11" s="30" t="s">
        <v>109</v>
      </c>
    </row>
    <row r="12" spans="1:15" x14ac:dyDescent="0.25">
      <c r="G12" s="6" t="s">
        <v>2</v>
      </c>
      <c r="H12" s="92">
        <v>40</v>
      </c>
      <c r="I12" s="64">
        <f>IF(H12&lt;=150,(H12/150))</f>
        <v>0.26666666666666666</v>
      </c>
      <c r="J12" s="93" cm="1">
        <f t="array" ref="J12">_xlfn.IFS((I12&lt;=$N$12),$O$12,AND(I12&lt;=$N$13,I12&gt;=$M$13),$O$13,AND(I12&lt;=$N$14,I12&gt;=$M$14),$O$14,AND(I12&lt;=$N$15,I12&gt;=$M$15),$O$15,AND(I12&lt;=$N$16,I12&gt;=$M$16),$O$16)</f>
        <v>5</v>
      </c>
      <c r="K12" cm="1">
        <f t="array" ref="K12">_xlfn.IFS(I12&lt;=$N$12, $O$12, I12=$M$13, I12&lt;=$N$13, $O$13, I12=$M$14, I12&lt;=$N$14, $O$14, I12=$M$15, I12&lt;=$N$15, $O$15, I12=$M$16, I12&lt;=$N$16, $O$16)</f>
        <v>5</v>
      </c>
      <c r="L12" cm="1">
        <f t="array" ref="L12">_xlfn.IFS(I12&lt;=$N$12, $O$12, AND(I12&gt;=$N$12, I12&lt;=$M$13), $O$13, AND(I12&gt;=$M$13, I12&lt;=$N$13), $O$13, AND(I12&gt;=$N$13, I12&lt;=$M$14), $O$14, AND(I12&gt;=$M$14, I12&lt;=$N$14), $O$14, AND(I12&gt;$N$14, I12&lt;=$M$15), $O$15, AND(I12&gt;$M$15, I12&lt;=$N$15), $O$15, AND(I12&gt;$N$15, I12&lt;=$M$16), $O$16, AND(I12&gt;$M$16, I12&lt;=$N$16), $O$16)</f>
        <v>5</v>
      </c>
      <c r="M12" s="32">
        <v>0</v>
      </c>
      <c r="N12" s="32">
        <v>0.4</v>
      </c>
      <c r="O12" s="6">
        <v>5</v>
      </c>
    </row>
    <row r="13" spans="1:15" x14ac:dyDescent="0.25">
      <c r="G13" s="6" t="s">
        <v>3</v>
      </c>
      <c r="H13" s="92">
        <v>60</v>
      </c>
      <c r="I13" s="64">
        <f t="shared" ref="I13:I18" si="0">IF(H13&lt;=150,(H13/150))</f>
        <v>0.4</v>
      </c>
      <c r="J13" s="93" cm="1">
        <f t="array" ref="J13">_xlfn.IFS((I13&lt;=$N$12),$O$12,AND(I13&lt;=$N$13,I13&gt;=$M$13),$O$13,AND(I13&lt;=$N$14,I13&gt;=$M$14),$O$14,AND(I13&lt;=$N$15,I13&gt;=$M$15),$O$15,AND(I13&lt;=$N$16,I13&gt;=$M$16),$O$16)</f>
        <v>5</v>
      </c>
      <c r="K13" cm="1">
        <f t="array" ref="K13">_xlfn.IFS(I13&lt;=$N$12, $O$12, I13=$M$13, I13&lt;=$N$13, $O$13, I13=$M$14, I13&lt;=$N$14, $O$14, I13=$M$15, I13&lt;=$N$15, $O$15, I13=$M$16, I13&lt;=$N$16, $O$16)</f>
        <v>5</v>
      </c>
      <c r="L13" cm="1">
        <f t="array" ref="L13">_xlfn.IFS(I13&lt;=$N$12, $O$12, AND(I13&gt;=$N$12, I13&lt;=$M$13), $O$13, AND(I13&gt;=$M$13, I13&lt;=$N$13), $O$13, AND(I13&gt;=$N$13, I13&lt;=$M$14), $O$14, AND(I13&gt;=$M$14, I13&lt;=$N$14), $O$14, AND(I13&gt;$N$14, I13&lt;=$M$15), $O$15, AND(I13&gt;$M$15, I13&lt;=$N$15), $O$15, AND(I13&gt;$N$15, I13&lt;=$M$16), $O$16, AND(I13&gt;$M$16, I13&lt;=$N$16), $O$16)</f>
        <v>5</v>
      </c>
      <c r="M13" s="32">
        <v>0.41</v>
      </c>
      <c r="N13" s="32">
        <v>0.6</v>
      </c>
      <c r="O13" s="6">
        <v>4</v>
      </c>
    </row>
    <row r="14" spans="1:15" x14ac:dyDescent="0.25">
      <c r="G14" s="6" t="s">
        <v>4</v>
      </c>
      <c r="H14" s="92">
        <v>33</v>
      </c>
      <c r="I14" s="64">
        <f t="shared" si="0"/>
        <v>0.22</v>
      </c>
      <c r="J14" s="93" cm="1">
        <f t="array" ref="J14">_xlfn.IFS((I14&lt;=$N$12),$O$12,AND(I14&lt;=$N$13,I14&gt;=$M$13),$O$13,AND(I14&lt;=$N$14,I14&gt;=$M$14),$O$14,AND(I14&lt;=$N$15,I14&gt;=$M$15),$O$15,AND(I14&lt;=$N$16,I14&gt;=$M$16),$O$16)</f>
        <v>5</v>
      </c>
      <c r="K14" cm="1">
        <f t="array" ref="K14">_xlfn.IFS(I14&lt;=$N$12, $O$12, I14=$M$13, I14&lt;=$N$13, $O$13, I14=$M$14, I14&lt;=$N$14, $O$14, I14=$M$15, I14&lt;=$N$15, $O$15, I14=$M$16, I14&lt;=$N$16, $O$16)</f>
        <v>5</v>
      </c>
      <c r="L14" cm="1">
        <f t="array" ref="L14">_xlfn.IFS(I14&lt;=$N$12, $O$12, AND(I14&gt;=$N$12, I14&lt;=$M$13), $O$13, AND(I14&gt;=$M$13, I14&lt;=$N$13), $O$13, AND(I14&gt;=$N$13, I14&lt;=$M$14), $O$14, AND(I14&gt;=$M$14, I14&lt;=$N$14), $O$14, AND(I14&gt;$N$14, I14&lt;=$M$15), $O$15, AND(I14&gt;$M$15, I14&lt;=$N$15), $O$15, AND(I14&gt;$N$15, I14&lt;=$M$16), $O$16, AND(I14&gt;$M$16, I14&lt;=$N$16), $O$16)</f>
        <v>5</v>
      </c>
      <c r="M14" s="32">
        <v>0.61</v>
      </c>
      <c r="N14" s="32">
        <v>0.70000000000000007</v>
      </c>
      <c r="O14" s="6">
        <v>3</v>
      </c>
    </row>
    <row r="15" spans="1:15" x14ac:dyDescent="0.25">
      <c r="G15" s="6" t="s">
        <v>5</v>
      </c>
      <c r="H15" s="92">
        <v>23</v>
      </c>
      <c r="I15" s="64">
        <f t="shared" si="0"/>
        <v>0.15333333333333332</v>
      </c>
      <c r="J15" s="93" cm="1">
        <f t="array" ref="J15">_xlfn.IFS((I15&lt;=$N$12),$O$12,AND(I15&lt;=$N$13,I15&gt;=$M$13),$O$13,AND(I15&lt;=$N$14,I15&gt;=$M$14),$O$14,AND(I15&lt;=$N$15,I15&gt;=$M$15),$O$15,AND(I15&lt;=$N$16,I15&gt;=$M$16),$O$16)</f>
        <v>5</v>
      </c>
      <c r="K15" cm="1">
        <f t="array" ref="K15">_xlfn.IFS(I15&lt;=$N$12, $O$12, I15=$M$13, I15&lt;=$N$13, $O$13, I15=$M$14, I15&lt;=$N$14, $O$14, I15=$M$15, I15&lt;=$N$15, $O$15, I15=$M$16, I15&lt;=$N$16, $O$16)</f>
        <v>5</v>
      </c>
      <c r="L15" cm="1">
        <f t="array" ref="L15">_xlfn.IFS(I15&lt;=$N$12, $O$12, AND(I15&gt;=$N$12, I15&lt;=$M$13), $O$13, AND(I15&gt;=$M$13, I15&lt;=$N$13), $O$13, AND(I15&gt;=$N$13, I15&lt;=$M$14), $O$14, AND(I15&gt;=$M$14, I15&lt;=$N$14), $O$14, AND(I15&gt;$N$14, I15&lt;=$M$15), $O$15, AND(I15&gt;$M$15, I15&lt;=$N$15), $O$15, AND(I15&gt;$N$15, I15&lt;=$M$16), $O$16, AND(I15&gt;$M$16, I15&lt;=$N$16), $O$16)</f>
        <v>5</v>
      </c>
      <c r="M15" s="32">
        <v>0.71</v>
      </c>
      <c r="N15" s="32">
        <v>0.9</v>
      </c>
      <c r="O15" s="6">
        <v>2</v>
      </c>
    </row>
    <row r="16" spans="1:15" x14ac:dyDescent="0.25">
      <c r="G16" s="6" t="s">
        <v>6</v>
      </c>
      <c r="H16" s="92">
        <v>45</v>
      </c>
      <c r="I16" s="64">
        <f t="shared" si="0"/>
        <v>0.3</v>
      </c>
      <c r="J16" s="93" cm="1">
        <f t="array" ref="J16">_xlfn.IFS((I16&lt;=$N$12),$O$12,AND(I16&lt;=$N$13,I16&gt;=$M$13),$O$13,AND(I16&lt;=$N$14,I16&gt;=$M$14),$O$14,AND(I16&lt;=$N$15,I16&gt;=$M$15),$O$15,AND(I16&lt;=$N$16,I16&gt;=$M$16),$O$16)</f>
        <v>5</v>
      </c>
      <c r="K16" cm="1">
        <f t="array" ref="K16">_xlfn.IFS(I16&lt;=$N$12, $O$12, I16=$M$13, I16&lt;=$N$13, $O$13, I16=$M$14, I16&lt;=$N$14, $O$14, I16=$M$15, I16&lt;=$N$15, $O$15, I16=$M$16, I16&lt;=$N$16, $O$16)</f>
        <v>5</v>
      </c>
      <c r="L16" cm="1">
        <f t="array" ref="L16">_xlfn.IFS(I16&lt;=$N$12, $O$12, AND(I16&gt;=$N$12, I16&lt;=$M$13), $O$13, AND(I16&gt;=$M$13, I16&lt;=$N$13), $O$13, AND(I16&gt;=$N$13, I16&lt;=$M$14), $O$14, AND(I16&gt;=$M$14, I16&lt;=$N$14), $O$14, AND(I16&gt;$N$14, I16&lt;=$M$15), $O$15, AND(I16&gt;$M$15, I16&lt;=$N$15), $O$15, AND(I16&gt;$N$15, I16&lt;=$M$16), $O$16, AND(I16&gt;$M$16, I16&lt;=$N$16), $O$16)</f>
        <v>5</v>
      </c>
      <c r="M16" s="32">
        <v>0.91</v>
      </c>
      <c r="N16" s="32">
        <v>1</v>
      </c>
      <c r="O16" s="6">
        <v>1</v>
      </c>
    </row>
    <row r="17" spans="2:12" x14ac:dyDescent="0.25">
      <c r="G17" s="6" t="s">
        <v>7</v>
      </c>
      <c r="H17" s="92">
        <v>65</v>
      </c>
      <c r="I17" s="64">
        <f t="shared" si="0"/>
        <v>0.43333333333333335</v>
      </c>
      <c r="J17" s="93" cm="1">
        <f t="array" ref="J17">_xlfn.IFS((I17&lt;=$N$12),$O$12,AND(I17&lt;=$N$13,I17&gt;=$M$13),$O$13,AND(I17&lt;=$N$14,I17&gt;=$M$14),$O$14,AND(I17&lt;=$N$15,I17&gt;=$M$15),$O$15,AND(I17&lt;=$N$16,I17&gt;=$M$16),$O$16)</f>
        <v>4</v>
      </c>
      <c r="K17" t="b" cm="1">
        <f t="array" ref="K17">_xlfn.IFS(I17&lt;=$N$12, $O$12, I17=$M$13, I17&lt;=$N$13, $O$13, I17=$M$14, I17&lt;=$N$14, $O$14, I17=$M$15, I17&lt;=$N$15, $O$15, I17=$M$16, I17&lt;=$N$16, $O$16)</f>
        <v>0</v>
      </c>
      <c r="L17" cm="1">
        <f t="array" ref="L17">_xlfn.IFS(I17&lt;=$N$12, $O$12, AND(I17&gt;=$N$12, I17&lt;=$M$13), $O$13, AND(I17&gt;=$M$13, I17&lt;=$N$13), $O$13, AND(I17&gt;=$N$13, I17&lt;=$M$14), $O$14, AND(I17&gt;=$M$14, I17&lt;=$N$14), $O$14, AND(I17&gt;$N$14, I17&lt;=$M$15), $O$15, AND(I17&gt;$M$15, I17&lt;=$N$15), $O$15, AND(I17&gt;$N$15, I17&lt;=$M$16), $O$16, AND(I17&gt;$M$16, I17&lt;=$N$16), $O$16)</f>
        <v>4</v>
      </c>
    </row>
    <row r="18" spans="2:12" x14ac:dyDescent="0.25">
      <c r="G18" s="6" t="s">
        <v>8</v>
      </c>
      <c r="H18" s="92">
        <v>98</v>
      </c>
      <c r="I18" s="64">
        <f t="shared" si="0"/>
        <v>0.65333333333333332</v>
      </c>
      <c r="J18" s="93" cm="1">
        <f t="array" ref="J18">_xlfn.IFS((I18&lt;=$N$12),$O$12,AND(I18&lt;=$N$13,I18&gt;=$M$13),$O$13,AND(I18&lt;=$N$14,I18&gt;=$M$14),$O$14,AND(I18&lt;=$N$15,I18&gt;=$M$15),$O$15,AND(I18&lt;=$N$16,I18&gt;=$M$16),$O$16)</f>
        <v>3</v>
      </c>
      <c r="K18" t="b" cm="1">
        <f t="array" ref="K18">_xlfn.IFS(I18&lt;=$N$12, $O$12, I18=$M$13, I18&lt;=$N$13, $O$13, I18=$M$14, I18&lt;=$N$14, $O$14, I18=$M$15, I18&lt;=$N$15, $O$15, I18=$M$16, I18&lt;=$N$16, $O$16)</f>
        <v>0</v>
      </c>
      <c r="L18" cm="1">
        <f t="array" ref="L18">_xlfn.IFS(I18&lt;=$N$12, $O$12, AND(I18&gt;=$N$12, I18&lt;=$M$13), $O$13, AND(I18&gt;=$M$13, I18&lt;=$N$13), $O$13, AND(I18&gt;=$N$13, I18&lt;=$M$14), $O$14, AND(I18&gt;=$M$14, I18&lt;=$N$14), $O$14, AND(I18&gt;$N$14, I18&lt;=$M$15), $O$15, AND(I18&gt;$M$15, I18&lt;=$N$15), $O$15, AND(I18&gt;$N$15, I18&lt;=$M$16), $O$16, AND(I18&gt;$M$16, I18&lt;=$N$16), $O$16)</f>
        <v>3</v>
      </c>
    </row>
    <row r="19" spans="2:12" x14ac:dyDescent="0.25">
      <c r="H19"/>
      <c r="I19"/>
    </row>
    <row r="20" spans="2:12" x14ac:dyDescent="0.25">
      <c r="H20"/>
      <c r="I20"/>
    </row>
    <row r="21" spans="2:12" x14ac:dyDescent="0.25">
      <c r="C21" t="s">
        <v>111</v>
      </c>
      <c r="G21" s="5" t="s">
        <v>0</v>
      </c>
      <c r="H21" s="5" t="s">
        <v>1</v>
      </c>
      <c r="I21" s="5" t="s">
        <v>109</v>
      </c>
    </row>
    <row r="22" spans="2:12" x14ac:dyDescent="0.25">
      <c r="G22" s="6" t="s">
        <v>2</v>
      </c>
      <c r="H22" s="6">
        <v>40</v>
      </c>
      <c r="I22" s="6" cm="1">
        <f t="array" ref="I22:I28">VLOOKUP(I12:I18,M12:O16,3,TRUE)</f>
        <v>5</v>
      </c>
      <c r="J22" s="31"/>
    </row>
    <row r="23" spans="2:12" x14ac:dyDescent="0.25">
      <c r="G23" s="6" t="s">
        <v>3</v>
      </c>
      <c r="H23" s="6">
        <v>60</v>
      </c>
      <c r="I23" s="6">
        <v>5</v>
      </c>
      <c r="J23" s="31"/>
    </row>
    <row r="24" spans="2:12" x14ac:dyDescent="0.25">
      <c r="G24" s="6" t="s">
        <v>4</v>
      </c>
      <c r="H24" s="6">
        <v>33</v>
      </c>
      <c r="I24" s="6">
        <v>5</v>
      </c>
      <c r="J24" s="31"/>
    </row>
    <row r="25" spans="2:12" x14ac:dyDescent="0.25">
      <c r="G25" s="6" t="s">
        <v>5</v>
      </c>
      <c r="H25" s="6">
        <v>23</v>
      </c>
      <c r="I25" s="6">
        <v>5</v>
      </c>
      <c r="J25" s="31"/>
    </row>
    <row r="26" spans="2:12" x14ac:dyDescent="0.25">
      <c r="G26" s="6" t="s">
        <v>6</v>
      </c>
      <c r="H26" s="92">
        <v>45</v>
      </c>
      <c r="I26" s="6">
        <v>5</v>
      </c>
      <c r="J26" s="31"/>
    </row>
    <row r="27" spans="2:12" x14ac:dyDescent="0.25">
      <c r="G27" s="6" t="s">
        <v>7</v>
      </c>
      <c r="H27" s="92">
        <v>65</v>
      </c>
      <c r="I27" s="6">
        <v>4</v>
      </c>
      <c r="J27" s="31"/>
    </row>
    <row r="28" spans="2:12" x14ac:dyDescent="0.25">
      <c r="G28" s="6" t="s">
        <v>8</v>
      </c>
      <c r="H28" s="92">
        <v>98</v>
      </c>
      <c r="I28" s="6">
        <v>3</v>
      </c>
      <c r="J28" s="31"/>
    </row>
    <row r="30" spans="2:12" x14ac:dyDescent="0.25">
      <c r="B30" t="s">
        <v>121</v>
      </c>
      <c r="G30" s="5" t="s">
        <v>0</v>
      </c>
      <c r="H30" s="5" t="s">
        <v>1</v>
      </c>
      <c r="I30" s="5" t="s">
        <v>109</v>
      </c>
    </row>
    <row r="31" spans="2:12" x14ac:dyDescent="0.25">
      <c r="G31" s="6" t="s">
        <v>2</v>
      </c>
      <c r="H31" s="92">
        <v>40</v>
      </c>
      <c r="I31" s="6">
        <f>RANK(H31,$H$31:$H$37,0)</f>
        <v>5</v>
      </c>
    </row>
    <row r="32" spans="2:12" x14ac:dyDescent="0.25">
      <c r="G32" s="6" t="s">
        <v>3</v>
      </c>
      <c r="H32" s="92">
        <v>60</v>
      </c>
      <c r="I32" s="6">
        <f t="shared" ref="I32:I37" si="1">RANK(H32,$H$31:$H$37,0)</f>
        <v>3</v>
      </c>
    </row>
    <row r="33" spans="7:9" x14ac:dyDescent="0.25">
      <c r="G33" s="6" t="s">
        <v>4</v>
      </c>
      <c r="H33" s="92">
        <v>33</v>
      </c>
      <c r="I33" s="6">
        <f t="shared" si="1"/>
        <v>6</v>
      </c>
    </row>
    <row r="34" spans="7:9" x14ac:dyDescent="0.25">
      <c r="G34" s="6" t="s">
        <v>5</v>
      </c>
      <c r="H34" s="92">
        <v>23</v>
      </c>
      <c r="I34" s="6">
        <f t="shared" si="1"/>
        <v>7</v>
      </c>
    </row>
    <row r="35" spans="7:9" x14ac:dyDescent="0.25">
      <c r="G35" s="6" t="s">
        <v>6</v>
      </c>
      <c r="H35" s="92">
        <v>45</v>
      </c>
      <c r="I35" s="6">
        <f t="shared" si="1"/>
        <v>4</v>
      </c>
    </row>
    <row r="36" spans="7:9" x14ac:dyDescent="0.25">
      <c r="G36" s="6" t="s">
        <v>7</v>
      </c>
      <c r="H36" s="92">
        <v>65</v>
      </c>
      <c r="I36" s="6">
        <f t="shared" si="1"/>
        <v>2</v>
      </c>
    </row>
    <row r="37" spans="7:9" x14ac:dyDescent="0.25">
      <c r="G37" s="6" t="s">
        <v>8</v>
      </c>
      <c r="H37" s="92">
        <v>98</v>
      </c>
      <c r="I37" s="6">
        <f t="shared" si="1"/>
        <v>1</v>
      </c>
    </row>
  </sheetData>
  <mergeCells count="2">
    <mergeCell ref="F1:K2"/>
    <mergeCell ref="M10:O10"/>
  </mergeCells>
  <hyperlinks>
    <hyperlink ref="O4" location="F!A1" display="NEXT QUESTION" xr:uid="{00000000-0004-0000-0400-000000000000}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3:K15"/>
  <sheetViews>
    <sheetView showGridLines="0" workbookViewId="0">
      <selection activeCell="D13" sqref="D13"/>
    </sheetView>
  </sheetViews>
  <sheetFormatPr defaultRowHeight="15" x14ac:dyDescent="0.25"/>
  <cols>
    <col min="1" max="1" width="17" customWidth="1"/>
    <col min="3" max="3" width="23.85546875" style="9" customWidth="1"/>
    <col min="4" max="4" width="28" style="11" customWidth="1"/>
    <col min="5" max="5" width="25.5703125" style="4" customWidth="1"/>
    <col min="6" max="6" width="23.5703125" style="14" customWidth="1"/>
    <col min="7" max="7" width="15.5703125" customWidth="1"/>
  </cols>
  <sheetData>
    <row r="3" spans="1:11" x14ac:dyDescent="0.25">
      <c r="K3" s="7"/>
    </row>
    <row r="4" spans="1:11" x14ac:dyDescent="0.25">
      <c r="I4" s="7" t="s">
        <v>9</v>
      </c>
      <c r="K4" s="7" t="s">
        <v>9</v>
      </c>
    </row>
    <row r="5" spans="1:11" x14ac:dyDescent="0.25">
      <c r="A5" t="s">
        <v>1219</v>
      </c>
    </row>
    <row r="6" spans="1:11" x14ac:dyDescent="0.25">
      <c r="A6" t="s">
        <v>129</v>
      </c>
    </row>
    <row r="7" spans="1:11" ht="48.75" customHeight="1" x14ac:dyDescent="0.25">
      <c r="A7" s="85" t="s">
        <v>127</v>
      </c>
      <c r="B7" s="85"/>
      <c r="C7" s="85"/>
      <c r="D7" s="85"/>
      <c r="E7" s="85"/>
      <c r="F7" s="85"/>
      <c r="G7" s="85"/>
      <c r="H7" s="85"/>
      <c r="I7" s="85"/>
    </row>
    <row r="8" spans="1:11" ht="32.25" customHeight="1" x14ac:dyDescent="0.25">
      <c r="A8" s="12"/>
      <c r="B8" s="12"/>
      <c r="C8" s="12"/>
      <c r="D8" s="12"/>
      <c r="E8" s="12"/>
      <c r="F8" s="15"/>
      <c r="G8" s="12"/>
      <c r="H8" s="12"/>
      <c r="I8" s="12"/>
    </row>
    <row r="9" spans="1:11" x14ac:dyDescent="0.25">
      <c r="C9" s="5" t="s">
        <v>10</v>
      </c>
      <c r="D9" s="5" t="s">
        <v>112</v>
      </c>
      <c r="E9" s="10" t="s">
        <v>125</v>
      </c>
      <c r="F9" s="5" t="s">
        <v>128</v>
      </c>
      <c r="G9" s="10" t="s">
        <v>126</v>
      </c>
    </row>
    <row r="10" spans="1:11" x14ac:dyDescent="0.25">
      <c r="C10" s="82" t="s">
        <v>122</v>
      </c>
      <c r="D10" s="6" t="str">
        <f>MID(C10,FIND("@",C10)+1,FIND(".",C10)- FIND("@", C10)-1)</f>
        <v>ABC</v>
      </c>
      <c r="E10" s="35">
        <v>2500</v>
      </c>
      <c r="F10" s="35">
        <v>3000</v>
      </c>
      <c r="G10" s="32">
        <f>IF(F10&gt;E10,(F10-E10)/E10,"")</f>
        <v>0.2</v>
      </c>
    </row>
    <row r="11" spans="1:11" x14ac:dyDescent="0.25">
      <c r="C11" s="13" t="s">
        <v>123</v>
      </c>
      <c r="D11" s="13" t="str">
        <f>MID(C11, FIND("@", C11) + 1, FIND(".", C11) - FIND("@", C11) - 1)</f>
        <v>wedgerl</v>
      </c>
      <c r="E11" s="35">
        <v>3200</v>
      </c>
      <c r="F11" s="35">
        <v>3200</v>
      </c>
      <c r="G11" s="32" t="str">
        <f t="shared" ref="G11" si="0">IF(F11&gt;E11,(F11-E11)/E11,"")</f>
        <v/>
      </c>
    </row>
    <row r="12" spans="1:11" x14ac:dyDescent="0.25">
      <c r="C12" s="13" t="s">
        <v>124</v>
      </c>
      <c r="D12" s="13" t="str">
        <f>MID(C12, FIND("@", C12) + 1, FIND(".", C12) - FIND("@", C12) - 1)</f>
        <v>digital</v>
      </c>
      <c r="E12" s="35">
        <v>1200</v>
      </c>
      <c r="F12" s="35">
        <v>1240</v>
      </c>
      <c r="G12" s="32">
        <f>IF(F12&gt;E12,(F12-E12)/E12)</f>
        <v>3.3333333333333333E-2</v>
      </c>
    </row>
    <row r="14" spans="1:11" x14ac:dyDescent="0.25">
      <c r="D14" s="96" t="str">
        <f>MID(C10,FIND("@",C10)+1,FIND(".",C10)-FIND("@",C10)-1)</f>
        <v>ABC</v>
      </c>
    </row>
    <row r="15" spans="1:11" x14ac:dyDescent="0.25">
      <c r="C15"/>
      <c r="D15"/>
      <c r="E15"/>
      <c r="F15"/>
      <c r="H15" s="4"/>
      <c r="I15" s="4"/>
    </row>
  </sheetData>
  <mergeCells count="1">
    <mergeCell ref="A7:I7"/>
  </mergeCells>
  <hyperlinks>
    <hyperlink ref="K4" location="G!A1" display="NEXT QUESTION" xr:uid="{00000000-0004-0000-0500-000000000000}"/>
    <hyperlink ref="C11" r:id="rId1" xr:uid="{00000000-0004-0000-0500-000002000000}"/>
    <hyperlink ref="C12" r:id="rId2" xr:uid="{00000000-0004-0000-0500-000003000000}"/>
    <hyperlink ref="I4" location="G!A1" display="NEXT QUESTION" xr:uid="{2E2ED3C6-0439-4E97-9C3A-7D8B4C071A7C}"/>
    <hyperlink ref="C10" r:id="rId3" xr:uid="{00000000-0004-0000-0500-000001000000}"/>
  </hyperlinks>
  <pageMargins left="0.7" right="0.7" top="0.75" bottom="0.75" header="0.3" footer="0.3"/>
  <pageSetup orientation="portrait" r:id="rId4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4:P18"/>
  <sheetViews>
    <sheetView showGridLines="0" workbookViewId="0">
      <selection activeCell="D18" sqref="D18"/>
    </sheetView>
  </sheetViews>
  <sheetFormatPr defaultRowHeight="15" x14ac:dyDescent="0.25"/>
  <cols>
    <col min="3" max="3" width="11.140625" bestFit="1" customWidth="1"/>
    <col min="4" max="4" width="10.5703125" customWidth="1"/>
    <col min="5" max="5" width="13.5703125" customWidth="1"/>
    <col min="6" max="6" width="11.5703125" customWidth="1"/>
    <col min="12" max="12" width="11" bestFit="1" customWidth="1"/>
    <col min="14" max="15" width="10.42578125" bestFit="1" customWidth="1"/>
  </cols>
  <sheetData>
    <row r="4" spans="1:16" x14ac:dyDescent="0.25">
      <c r="P4" s="7" t="s">
        <v>9</v>
      </c>
    </row>
    <row r="5" spans="1:16" x14ac:dyDescent="0.25">
      <c r="A5" t="s">
        <v>1220</v>
      </c>
    </row>
    <row r="6" spans="1:16" x14ac:dyDescent="0.25">
      <c r="A6" t="s">
        <v>106</v>
      </c>
    </row>
    <row r="8" spans="1:16" x14ac:dyDescent="0.25">
      <c r="C8" s="16" t="s">
        <v>11</v>
      </c>
      <c r="D8" s="16" t="s">
        <v>12</v>
      </c>
      <c r="E8" s="16" t="s">
        <v>13</v>
      </c>
      <c r="F8" s="16" t="s">
        <v>14</v>
      </c>
      <c r="G8" s="16" t="s">
        <v>15</v>
      </c>
      <c r="H8" s="16" t="s">
        <v>16</v>
      </c>
      <c r="I8" s="16" t="s">
        <v>17</v>
      </c>
      <c r="J8" s="16" t="s">
        <v>18</v>
      </c>
      <c r="K8" s="16" t="s">
        <v>19</v>
      </c>
      <c r="L8" s="16" t="s">
        <v>20</v>
      </c>
      <c r="M8" s="16" t="s">
        <v>21</v>
      </c>
      <c r="N8" s="16" t="s">
        <v>22</v>
      </c>
      <c r="O8" s="16" t="s">
        <v>23</v>
      </c>
    </row>
    <row r="9" spans="1:16" x14ac:dyDescent="0.25">
      <c r="C9" s="16" t="s">
        <v>24</v>
      </c>
      <c r="D9" s="18">
        <v>4600</v>
      </c>
      <c r="E9" s="18">
        <v>4200</v>
      </c>
      <c r="F9" s="18">
        <v>5200</v>
      </c>
      <c r="G9" s="18">
        <v>4600</v>
      </c>
      <c r="H9" s="18">
        <v>4200</v>
      </c>
      <c r="I9" s="18">
        <v>5200</v>
      </c>
      <c r="J9" s="18">
        <v>4600</v>
      </c>
      <c r="K9" s="18">
        <v>4200</v>
      </c>
      <c r="L9" s="18">
        <v>5200</v>
      </c>
      <c r="M9" s="18">
        <v>4600</v>
      </c>
      <c r="N9" s="18">
        <v>4200</v>
      </c>
      <c r="O9" s="18">
        <v>5200</v>
      </c>
    </row>
    <row r="10" spans="1:16" x14ac:dyDescent="0.25">
      <c r="C10" s="16" t="s">
        <v>25</v>
      </c>
      <c r="D10" s="18">
        <v>2100</v>
      </c>
      <c r="E10" s="18">
        <v>2100</v>
      </c>
      <c r="F10" s="18">
        <v>2100</v>
      </c>
      <c r="G10" s="18">
        <v>2100</v>
      </c>
      <c r="H10" s="18">
        <v>2100</v>
      </c>
      <c r="I10" s="18">
        <v>2100</v>
      </c>
      <c r="J10" s="18">
        <v>2100</v>
      </c>
      <c r="K10" s="18">
        <v>2100</v>
      </c>
      <c r="L10" s="18">
        <v>2100</v>
      </c>
      <c r="M10" s="18">
        <v>2100</v>
      </c>
      <c r="N10" s="18">
        <v>2100</v>
      </c>
      <c r="O10" s="18">
        <v>2100</v>
      </c>
    </row>
    <row r="11" spans="1:16" x14ac:dyDescent="0.25">
      <c r="C11" s="16" t="s">
        <v>26</v>
      </c>
      <c r="D11" s="18">
        <v>1300</v>
      </c>
      <c r="E11" s="18">
        <v>1200</v>
      </c>
      <c r="F11" s="18">
        <v>1400</v>
      </c>
      <c r="G11" s="18">
        <v>1300</v>
      </c>
      <c r="H11" s="18">
        <v>1200</v>
      </c>
      <c r="I11" s="18">
        <v>1400</v>
      </c>
      <c r="J11" s="18">
        <v>1300</v>
      </c>
      <c r="K11" s="18">
        <v>1200</v>
      </c>
      <c r="L11" s="18">
        <v>1400</v>
      </c>
      <c r="M11" s="18">
        <v>1300</v>
      </c>
      <c r="N11" s="18">
        <v>1200</v>
      </c>
      <c r="O11" s="18">
        <v>1400</v>
      </c>
    </row>
    <row r="12" spans="1:16" x14ac:dyDescent="0.25">
      <c r="C12" s="16" t="s">
        <v>27</v>
      </c>
      <c r="D12" s="18">
        <v>16000</v>
      </c>
      <c r="E12" s="18">
        <v>16000</v>
      </c>
      <c r="F12" s="18">
        <v>16500</v>
      </c>
      <c r="G12" s="18">
        <v>16000</v>
      </c>
      <c r="H12" s="18">
        <v>16000</v>
      </c>
      <c r="I12" s="18">
        <v>16500</v>
      </c>
      <c r="J12" s="18">
        <v>16000</v>
      </c>
      <c r="K12" s="18">
        <v>16000</v>
      </c>
      <c r="L12" s="18">
        <v>16500</v>
      </c>
      <c r="M12" s="18">
        <v>16000</v>
      </c>
      <c r="N12" s="18">
        <v>16000</v>
      </c>
      <c r="O12" s="18">
        <v>16500</v>
      </c>
    </row>
    <row r="13" spans="1:16" x14ac:dyDescent="0.25">
      <c r="C13" s="16" t="s">
        <v>28</v>
      </c>
      <c r="D13" s="18">
        <v>500</v>
      </c>
      <c r="E13" s="18">
        <v>600</v>
      </c>
      <c r="F13" s="18">
        <v>600</v>
      </c>
      <c r="G13" s="18">
        <v>500</v>
      </c>
      <c r="H13" s="18">
        <v>600</v>
      </c>
      <c r="I13" s="18">
        <v>600</v>
      </c>
      <c r="J13" s="18">
        <v>500</v>
      </c>
      <c r="K13" s="18">
        <v>600</v>
      </c>
      <c r="L13" s="18">
        <v>600</v>
      </c>
      <c r="M13" s="18">
        <v>500</v>
      </c>
      <c r="N13" s="18">
        <v>600</v>
      </c>
      <c r="O13" s="18">
        <v>600</v>
      </c>
    </row>
    <row r="14" spans="1:16" x14ac:dyDescent="0.25">
      <c r="C14" s="16" t="s">
        <v>29</v>
      </c>
      <c r="D14" s="19">
        <f t="shared" ref="D14:O14" si="0">SUM(D9:D13)</f>
        <v>24500</v>
      </c>
      <c r="E14" s="19">
        <f t="shared" si="0"/>
        <v>24100</v>
      </c>
      <c r="F14" s="19">
        <f t="shared" si="0"/>
        <v>25800</v>
      </c>
      <c r="G14" s="19">
        <f t="shared" si="0"/>
        <v>24500</v>
      </c>
      <c r="H14" s="19">
        <f t="shared" si="0"/>
        <v>24100</v>
      </c>
      <c r="I14" s="19">
        <f t="shared" si="0"/>
        <v>25800</v>
      </c>
      <c r="J14" s="19">
        <f t="shared" si="0"/>
        <v>24500</v>
      </c>
      <c r="K14" s="19">
        <f t="shared" si="0"/>
        <v>24100</v>
      </c>
      <c r="L14" s="19">
        <f t="shared" si="0"/>
        <v>25800</v>
      </c>
      <c r="M14" s="19">
        <f t="shared" si="0"/>
        <v>24500</v>
      </c>
      <c r="N14" s="19">
        <f t="shared" si="0"/>
        <v>24100</v>
      </c>
      <c r="O14" s="19">
        <f t="shared" si="0"/>
        <v>25800</v>
      </c>
    </row>
    <row r="17" spans="3:6" x14ac:dyDescent="0.25">
      <c r="C17" s="21" t="s">
        <v>30</v>
      </c>
      <c r="D17" s="20" t="s">
        <v>19</v>
      </c>
      <c r="E17" s="20" t="s">
        <v>20</v>
      </c>
      <c r="F17" s="20" t="s">
        <v>23</v>
      </c>
    </row>
    <row r="18" spans="3:6" ht="20.25" customHeight="1" x14ac:dyDescent="0.25">
      <c r="C18" s="21" t="s">
        <v>31</v>
      </c>
      <c r="D18" s="17">
        <f>LOOKUP(D17,K8:O8,K14:O14)</f>
        <v>24100</v>
      </c>
      <c r="E18" s="17">
        <f>LOOKUP(E17,L8:P8,L14:P14)</f>
        <v>25800</v>
      </c>
      <c r="F18" s="17">
        <f>LOOKUP(F17,M8:Q8,M14:Q14)</f>
        <v>25800</v>
      </c>
    </row>
  </sheetData>
  <hyperlinks>
    <hyperlink ref="P4" location="H!A1" display="NEXT QUESTION" xr:uid="{00000000-0004-0000-0600-000000000000}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4:O486"/>
  <sheetViews>
    <sheetView showGridLines="0" workbookViewId="0">
      <selection activeCell="G19" sqref="G19"/>
    </sheetView>
  </sheetViews>
  <sheetFormatPr defaultRowHeight="15" x14ac:dyDescent="0.25"/>
  <cols>
    <col min="3" max="3" width="11.140625" bestFit="1" customWidth="1"/>
    <col min="4" max="4" width="10.5703125" customWidth="1"/>
    <col min="5" max="5" width="13.5703125" customWidth="1"/>
    <col min="6" max="6" width="11.5703125" customWidth="1"/>
    <col min="9" max="9" width="10.5703125" bestFit="1" customWidth="1"/>
    <col min="12" max="12" width="11" bestFit="1" customWidth="1"/>
    <col min="14" max="15" width="10.42578125" bestFit="1" customWidth="1"/>
  </cols>
  <sheetData>
    <row r="4" spans="1:15" x14ac:dyDescent="0.25">
      <c r="O4" s="7" t="s">
        <v>9</v>
      </c>
    </row>
    <row r="5" spans="1:15" x14ac:dyDescent="0.25">
      <c r="A5" t="s">
        <v>1220</v>
      </c>
    </row>
    <row r="6" spans="1:15" x14ac:dyDescent="0.25">
      <c r="A6" t="s">
        <v>150</v>
      </c>
    </row>
    <row r="8" spans="1:15" x14ac:dyDescent="0.25">
      <c r="C8" s="16" t="s">
        <v>11</v>
      </c>
      <c r="D8" s="16" t="s">
        <v>12</v>
      </c>
      <c r="E8" s="16" t="s">
        <v>13</v>
      </c>
      <c r="F8" s="16" t="s">
        <v>14</v>
      </c>
      <c r="G8" s="16" t="s">
        <v>15</v>
      </c>
      <c r="H8" s="16" t="s">
        <v>16</v>
      </c>
      <c r="I8" s="16" t="s">
        <v>17</v>
      </c>
      <c r="J8" s="16" t="s">
        <v>18</v>
      </c>
      <c r="K8" s="16" t="s">
        <v>19</v>
      </c>
      <c r="L8" s="16" t="s">
        <v>20</v>
      </c>
      <c r="M8" s="16" t="s">
        <v>21</v>
      </c>
      <c r="N8" s="16" t="s">
        <v>22</v>
      </c>
      <c r="O8" s="16" t="s">
        <v>23</v>
      </c>
    </row>
    <row r="9" spans="1:15" x14ac:dyDescent="0.25">
      <c r="C9" s="16" t="s">
        <v>24</v>
      </c>
      <c r="D9" s="18">
        <v>4600</v>
      </c>
      <c r="E9" s="18">
        <v>4200</v>
      </c>
      <c r="F9" s="18">
        <v>5200</v>
      </c>
      <c r="G9" s="18">
        <v>4600</v>
      </c>
      <c r="H9" s="18">
        <v>4200</v>
      </c>
      <c r="I9" s="18">
        <v>5200</v>
      </c>
      <c r="J9" s="18">
        <v>4600</v>
      </c>
      <c r="K9" s="18">
        <v>4200</v>
      </c>
      <c r="L9" s="18">
        <v>5200</v>
      </c>
      <c r="M9" s="18">
        <v>4600</v>
      </c>
      <c r="N9" s="18">
        <v>4200</v>
      </c>
      <c r="O9" s="18">
        <v>5200</v>
      </c>
    </row>
    <row r="10" spans="1:15" x14ac:dyDescent="0.25">
      <c r="C10" s="16" t="s">
        <v>25</v>
      </c>
      <c r="D10" s="18">
        <v>2100</v>
      </c>
      <c r="E10" s="18">
        <v>2100</v>
      </c>
      <c r="F10" s="18">
        <v>2100</v>
      </c>
      <c r="G10" s="18">
        <v>2100</v>
      </c>
      <c r="H10" s="18">
        <v>2100</v>
      </c>
      <c r="I10" s="18">
        <v>2100</v>
      </c>
      <c r="J10" s="18">
        <v>2100</v>
      </c>
      <c r="K10" s="18">
        <v>2100</v>
      </c>
      <c r="L10" s="18">
        <v>2100</v>
      </c>
      <c r="M10" s="18">
        <v>2100</v>
      </c>
      <c r="N10" s="18">
        <v>2100</v>
      </c>
      <c r="O10" s="18">
        <v>2100</v>
      </c>
    </row>
    <row r="11" spans="1:15" x14ac:dyDescent="0.25">
      <c r="C11" s="16" t="s">
        <v>26</v>
      </c>
      <c r="D11" s="18">
        <v>1300</v>
      </c>
      <c r="E11" s="18">
        <v>1200</v>
      </c>
      <c r="F11" s="18">
        <v>1400</v>
      </c>
      <c r="G11" s="18">
        <v>1300</v>
      </c>
      <c r="H11" s="18">
        <v>1200</v>
      </c>
      <c r="I11" s="18">
        <v>1400</v>
      </c>
      <c r="J11" s="18">
        <v>1300</v>
      </c>
      <c r="K11" s="18">
        <v>1200</v>
      </c>
      <c r="L11" s="18">
        <v>1400</v>
      </c>
      <c r="M11" s="18">
        <v>1300</v>
      </c>
      <c r="N11" s="18">
        <v>1200</v>
      </c>
      <c r="O11" s="18">
        <v>1400</v>
      </c>
    </row>
    <row r="12" spans="1:15" x14ac:dyDescent="0.25">
      <c r="C12" s="16" t="s">
        <v>27</v>
      </c>
      <c r="D12" s="18">
        <v>16000</v>
      </c>
      <c r="E12" s="18">
        <v>16000</v>
      </c>
      <c r="F12" s="18">
        <v>16500</v>
      </c>
      <c r="G12" s="18">
        <v>16000</v>
      </c>
      <c r="H12" s="18">
        <v>16000</v>
      </c>
      <c r="I12" s="18">
        <v>16500</v>
      </c>
      <c r="J12" s="18">
        <v>16000</v>
      </c>
      <c r="K12" s="18">
        <v>16000</v>
      </c>
      <c r="L12" s="18">
        <v>16500</v>
      </c>
      <c r="M12" s="18">
        <v>16000</v>
      </c>
      <c r="N12" s="18">
        <v>16000</v>
      </c>
      <c r="O12" s="18">
        <v>16500</v>
      </c>
    </row>
    <row r="13" spans="1:15" x14ac:dyDescent="0.25">
      <c r="C13" s="16" t="s">
        <v>28</v>
      </c>
      <c r="D13" s="18">
        <v>500</v>
      </c>
      <c r="E13" s="18">
        <v>600</v>
      </c>
      <c r="F13" s="18">
        <v>600</v>
      </c>
      <c r="G13" s="18">
        <v>500</v>
      </c>
      <c r="H13" s="18">
        <v>600</v>
      </c>
      <c r="I13" s="18">
        <v>600</v>
      </c>
      <c r="J13" s="18">
        <v>500</v>
      </c>
      <c r="K13" s="18">
        <v>600</v>
      </c>
      <c r="L13" s="18">
        <v>600</v>
      </c>
      <c r="M13" s="18">
        <v>500</v>
      </c>
      <c r="N13" s="18">
        <v>600</v>
      </c>
      <c r="O13" s="18">
        <v>600</v>
      </c>
    </row>
    <row r="14" spans="1:15" x14ac:dyDescent="0.25">
      <c r="C14" s="16" t="s">
        <v>29</v>
      </c>
      <c r="D14" s="19">
        <f t="shared" ref="D14:O14" si="0">SUM(D9:D13)</f>
        <v>24500</v>
      </c>
      <c r="E14" s="19">
        <f t="shared" si="0"/>
        <v>24100</v>
      </c>
      <c r="F14" s="19">
        <f t="shared" si="0"/>
        <v>25800</v>
      </c>
      <c r="G14" s="19">
        <f t="shared" si="0"/>
        <v>24500</v>
      </c>
      <c r="H14" s="19">
        <f t="shared" si="0"/>
        <v>24100</v>
      </c>
      <c r="I14" s="19">
        <f t="shared" si="0"/>
        <v>25800</v>
      </c>
      <c r="J14" s="19">
        <f t="shared" si="0"/>
        <v>24500</v>
      </c>
      <c r="K14" s="19">
        <f t="shared" si="0"/>
        <v>24100</v>
      </c>
      <c r="L14" s="19">
        <f t="shared" si="0"/>
        <v>25800</v>
      </c>
      <c r="M14" s="19">
        <f t="shared" si="0"/>
        <v>24500</v>
      </c>
      <c r="N14" s="19">
        <f t="shared" si="0"/>
        <v>24100</v>
      </c>
      <c r="O14" s="19">
        <f t="shared" si="0"/>
        <v>25800</v>
      </c>
    </row>
    <row r="17" spans="1:10" x14ac:dyDescent="0.25">
      <c r="C17" s="21" t="s">
        <v>113</v>
      </c>
      <c r="D17" s="20" t="s">
        <v>19</v>
      </c>
      <c r="E17" s="20" t="s">
        <v>20</v>
      </c>
      <c r="F17" s="20" t="s">
        <v>23</v>
      </c>
    </row>
    <row r="18" spans="1:10" x14ac:dyDescent="0.25">
      <c r="C18" s="16" t="s">
        <v>25</v>
      </c>
      <c r="D18" s="18">
        <f>INDEX($C$8:$O$14,MATCH($C18,$C$9:$C$13,0),MATCH(D$17,$D$8:$O$8,0))</f>
        <v>4600</v>
      </c>
      <c r="E18" s="18">
        <f t="shared" ref="E18:F18" si="1">INDEX($C$8:$O$14,MATCH($C18,$C$9:$C$13,0),MATCH(E$17,$D$8:$O$8,0))</f>
        <v>4200</v>
      </c>
      <c r="F18" s="18">
        <f t="shared" si="1"/>
        <v>4200</v>
      </c>
    </row>
    <row r="19" spans="1:10" x14ac:dyDescent="0.25">
      <c r="C19" s="16" t="s">
        <v>26</v>
      </c>
      <c r="D19" s="18">
        <f t="shared" ref="D19:F20" si="2">INDEX($C$8:$O$14,MATCH($C19,$C$9:$C$13,0),MATCH(D$17,$D$8:$O$8,0))</f>
        <v>2100</v>
      </c>
      <c r="E19" s="18">
        <f t="shared" si="2"/>
        <v>2100</v>
      </c>
      <c r="F19" s="18">
        <f t="shared" si="2"/>
        <v>2100</v>
      </c>
    </row>
    <row r="20" spans="1:10" x14ac:dyDescent="0.25">
      <c r="A20" s="9"/>
      <c r="C20" s="16" t="s">
        <v>27</v>
      </c>
      <c r="D20" s="18">
        <f t="shared" si="2"/>
        <v>1300</v>
      </c>
      <c r="E20" s="18">
        <f t="shared" si="2"/>
        <v>1200</v>
      </c>
      <c r="F20" s="18">
        <f t="shared" si="2"/>
        <v>1200</v>
      </c>
      <c r="H20" s="4"/>
      <c r="I20" s="4"/>
      <c r="J20" s="4"/>
    </row>
    <row r="22" spans="1:10" x14ac:dyDescent="0.25">
      <c r="A22" t="s">
        <v>1105</v>
      </c>
    </row>
    <row r="23" spans="1:10" x14ac:dyDescent="0.25">
      <c r="A23" t="s">
        <v>1108</v>
      </c>
    </row>
    <row r="25" spans="1:10" x14ac:dyDescent="0.25">
      <c r="C25" s="86" t="s">
        <v>182</v>
      </c>
      <c r="D25" s="86"/>
      <c r="H25" s="84" t="s">
        <v>183</v>
      </c>
      <c r="I25" s="84"/>
    </row>
    <row r="26" spans="1:10" x14ac:dyDescent="0.25">
      <c r="C26" s="16" t="s">
        <v>181</v>
      </c>
      <c r="D26" s="16" t="s">
        <v>1104</v>
      </c>
      <c r="H26" s="16" t="s">
        <v>181</v>
      </c>
      <c r="I26" s="16" t="s">
        <v>1104</v>
      </c>
    </row>
    <row r="27" spans="1:10" x14ac:dyDescent="0.25">
      <c r="C27" s="1">
        <v>1614957</v>
      </c>
      <c r="D27" s="1"/>
      <c r="H27" s="39" t="s">
        <v>184</v>
      </c>
      <c r="I27" s="1" t="s">
        <v>644</v>
      </c>
    </row>
    <row r="28" spans="1:10" x14ac:dyDescent="0.25">
      <c r="C28" s="1">
        <v>1618516</v>
      </c>
      <c r="D28" s="1"/>
      <c r="H28" s="39" t="s">
        <v>185</v>
      </c>
      <c r="I28" s="1" t="s">
        <v>645</v>
      </c>
    </row>
    <row r="29" spans="1:10" x14ac:dyDescent="0.25">
      <c r="C29" s="1">
        <v>1625443</v>
      </c>
      <c r="D29" s="1"/>
      <c r="H29" s="39" t="s">
        <v>186</v>
      </c>
      <c r="I29" s="1" t="s">
        <v>646</v>
      </c>
    </row>
    <row r="30" spans="1:10" x14ac:dyDescent="0.25">
      <c r="C30" s="1">
        <v>1643955</v>
      </c>
      <c r="D30" s="1"/>
      <c r="H30" s="39" t="s">
        <v>187</v>
      </c>
      <c r="I30" s="1" t="s">
        <v>647</v>
      </c>
    </row>
    <row r="31" spans="1:10" x14ac:dyDescent="0.25">
      <c r="C31" s="1">
        <v>1645239</v>
      </c>
      <c r="D31" s="1"/>
      <c r="H31" s="39" t="s">
        <v>188</v>
      </c>
      <c r="I31" s="1" t="s">
        <v>648</v>
      </c>
    </row>
    <row r="32" spans="1:10" x14ac:dyDescent="0.25">
      <c r="C32" s="1">
        <v>1646633</v>
      </c>
      <c r="D32" s="1"/>
      <c r="H32" s="39" t="s">
        <v>189</v>
      </c>
      <c r="I32" s="1" t="s">
        <v>649</v>
      </c>
    </row>
    <row r="33" spans="3:9" x14ac:dyDescent="0.25">
      <c r="C33" s="1">
        <v>1648385</v>
      </c>
      <c r="D33" s="1"/>
      <c r="H33" s="39" t="s">
        <v>190</v>
      </c>
      <c r="I33" s="1" t="s">
        <v>650</v>
      </c>
    </row>
    <row r="34" spans="3:9" x14ac:dyDescent="0.25">
      <c r="C34" s="1">
        <v>1647326</v>
      </c>
      <c r="D34" s="1"/>
      <c r="H34" s="39" t="s">
        <v>191</v>
      </c>
      <c r="I34" s="1" t="s">
        <v>651</v>
      </c>
    </row>
    <row r="35" spans="3:9" x14ac:dyDescent="0.25">
      <c r="C35" s="1">
        <v>1647232</v>
      </c>
      <c r="D35" s="1"/>
      <c r="H35" s="39" t="s">
        <v>192</v>
      </c>
      <c r="I35" s="1" t="s">
        <v>652</v>
      </c>
    </row>
    <row r="36" spans="3:9" x14ac:dyDescent="0.25">
      <c r="C36" s="1">
        <v>1644899</v>
      </c>
      <c r="D36" s="1"/>
      <c r="H36" s="39" t="s">
        <v>193</v>
      </c>
      <c r="I36" s="1" t="s">
        <v>653</v>
      </c>
    </row>
    <row r="37" spans="3:9" x14ac:dyDescent="0.25">
      <c r="C37" s="1">
        <v>1709095</v>
      </c>
      <c r="D37" s="1"/>
      <c r="H37" s="39" t="s">
        <v>194</v>
      </c>
      <c r="I37" s="1" t="s">
        <v>654</v>
      </c>
    </row>
    <row r="38" spans="3:9" x14ac:dyDescent="0.25">
      <c r="C38" s="1">
        <v>1711313</v>
      </c>
      <c r="D38" s="1"/>
      <c r="H38" s="39" t="s">
        <v>195</v>
      </c>
      <c r="I38" s="1" t="s">
        <v>655</v>
      </c>
    </row>
    <row r="39" spans="3:9" x14ac:dyDescent="0.25">
      <c r="C39" s="1">
        <v>1707200</v>
      </c>
      <c r="D39" s="1"/>
      <c r="H39" s="39" t="s">
        <v>196</v>
      </c>
      <c r="I39" s="1" t="s">
        <v>656</v>
      </c>
    </row>
    <row r="40" spans="3:9" x14ac:dyDescent="0.25">
      <c r="C40" s="1">
        <v>1646653</v>
      </c>
      <c r="D40" s="1"/>
      <c r="H40" s="39" t="s">
        <v>197</v>
      </c>
      <c r="I40" s="1" t="s">
        <v>657</v>
      </c>
    </row>
    <row r="41" spans="3:9" x14ac:dyDescent="0.25">
      <c r="C41" s="1">
        <v>1708609</v>
      </c>
      <c r="D41" s="1"/>
      <c r="H41" s="39" t="s">
        <v>198</v>
      </c>
      <c r="I41" s="1" t="s">
        <v>658</v>
      </c>
    </row>
    <row r="42" spans="3:9" x14ac:dyDescent="0.25">
      <c r="C42" s="1">
        <v>1612539</v>
      </c>
      <c r="D42" s="1"/>
      <c r="H42" s="39" t="s">
        <v>199</v>
      </c>
      <c r="I42" s="1" t="s">
        <v>659</v>
      </c>
    </row>
    <row r="43" spans="3:9" x14ac:dyDescent="0.25">
      <c r="C43" s="1">
        <v>1680416</v>
      </c>
      <c r="D43" s="1"/>
      <c r="H43" s="39" t="s">
        <v>200</v>
      </c>
      <c r="I43" s="1" t="s">
        <v>660</v>
      </c>
    </row>
    <row r="44" spans="3:9" x14ac:dyDescent="0.25">
      <c r="C44" s="1">
        <v>1709090</v>
      </c>
      <c r="D44" s="1"/>
      <c r="H44" s="39" t="s">
        <v>201</v>
      </c>
      <c r="I44" s="1" t="s">
        <v>661</v>
      </c>
    </row>
    <row r="45" spans="3:9" x14ac:dyDescent="0.25">
      <c r="C45" s="1">
        <v>1711312</v>
      </c>
      <c r="D45" s="1"/>
      <c r="H45" s="39" t="s">
        <v>202</v>
      </c>
      <c r="I45" s="1" t="s">
        <v>662</v>
      </c>
    </row>
    <row r="46" spans="3:9" x14ac:dyDescent="0.25">
      <c r="C46" s="1">
        <v>1707288</v>
      </c>
      <c r="D46" s="1"/>
      <c r="H46" s="39" t="s">
        <v>203</v>
      </c>
      <c r="I46" s="1" t="s">
        <v>663</v>
      </c>
    </row>
    <row r="47" spans="3:9" x14ac:dyDescent="0.25">
      <c r="C47" s="1">
        <v>1708374</v>
      </c>
      <c r="D47" s="1"/>
      <c r="H47" s="39" t="s">
        <v>204</v>
      </c>
      <c r="I47" s="1" t="s">
        <v>664</v>
      </c>
    </row>
    <row r="48" spans="3:9" x14ac:dyDescent="0.25">
      <c r="C48" s="1">
        <v>1707201</v>
      </c>
      <c r="D48" s="1"/>
      <c r="H48" s="39" t="s">
        <v>205</v>
      </c>
      <c r="I48" s="1" t="s">
        <v>665</v>
      </c>
    </row>
    <row r="49" spans="3:9" x14ac:dyDescent="0.25">
      <c r="C49" s="1">
        <v>1709022</v>
      </c>
      <c r="D49" s="1"/>
      <c r="H49" s="39" t="s">
        <v>206</v>
      </c>
      <c r="I49" s="1" t="s">
        <v>666</v>
      </c>
    </row>
    <row r="50" spans="3:9" x14ac:dyDescent="0.25">
      <c r="C50" s="1">
        <v>1709420</v>
      </c>
      <c r="D50" s="1"/>
      <c r="H50" s="39" t="s">
        <v>207</v>
      </c>
      <c r="I50" s="1" t="s">
        <v>667</v>
      </c>
    </row>
    <row r="51" spans="3:9" x14ac:dyDescent="0.25">
      <c r="C51" s="1">
        <v>1715083</v>
      </c>
      <c r="D51" s="1"/>
      <c r="H51" s="39" t="s">
        <v>208</v>
      </c>
      <c r="I51" s="1" t="s">
        <v>668</v>
      </c>
    </row>
    <row r="52" spans="3:9" x14ac:dyDescent="0.25">
      <c r="C52" s="1">
        <v>1714946</v>
      </c>
      <c r="D52" s="1"/>
      <c r="H52" s="39" t="s">
        <v>209</v>
      </c>
      <c r="I52" s="1" t="s">
        <v>669</v>
      </c>
    </row>
    <row r="53" spans="3:9" x14ac:dyDescent="0.25">
      <c r="C53" s="1">
        <v>1739199</v>
      </c>
      <c r="D53" s="1"/>
      <c r="H53" s="39" t="s">
        <v>210</v>
      </c>
      <c r="I53" s="1" t="s">
        <v>670</v>
      </c>
    </row>
    <row r="54" spans="3:9" x14ac:dyDescent="0.25">
      <c r="C54" s="1">
        <v>1738287</v>
      </c>
      <c r="D54" s="1"/>
      <c r="H54" s="39" t="s">
        <v>211</v>
      </c>
      <c r="I54" s="1" t="s">
        <v>671</v>
      </c>
    </row>
    <row r="55" spans="3:9" x14ac:dyDescent="0.25">
      <c r="C55" s="1">
        <v>1738096</v>
      </c>
      <c r="D55" s="1"/>
      <c r="H55" s="39" t="s">
        <v>212</v>
      </c>
      <c r="I55" s="1" t="s">
        <v>672</v>
      </c>
    </row>
    <row r="56" spans="3:9" x14ac:dyDescent="0.25">
      <c r="C56" s="1">
        <v>1741291</v>
      </c>
      <c r="D56" s="1"/>
      <c r="H56" s="39" t="s">
        <v>213</v>
      </c>
      <c r="I56" s="1" t="s">
        <v>673</v>
      </c>
    </row>
    <row r="57" spans="3:9" x14ac:dyDescent="0.25">
      <c r="C57" s="1">
        <v>1743089</v>
      </c>
      <c r="D57" s="1"/>
      <c r="H57" s="39" t="s">
        <v>214</v>
      </c>
      <c r="I57" s="1" t="s">
        <v>674</v>
      </c>
    </row>
    <row r="58" spans="3:9" x14ac:dyDescent="0.25">
      <c r="C58" s="1">
        <v>1760212</v>
      </c>
      <c r="D58" s="1"/>
      <c r="H58" s="39" t="s">
        <v>215</v>
      </c>
      <c r="I58" s="1" t="s">
        <v>675</v>
      </c>
    </row>
    <row r="59" spans="3:9" x14ac:dyDescent="0.25">
      <c r="C59" s="1">
        <v>1771581</v>
      </c>
      <c r="D59" s="1"/>
      <c r="H59" s="39" t="s">
        <v>216</v>
      </c>
      <c r="I59" s="1" t="s">
        <v>676</v>
      </c>
    </row>
    <row r="60" spans="3:9" x14ac:dyDescent="0.25">
      <c r="C60" s="1">
        <v>1707845</v>
      </c>
      <c r="D60" s="1"/>
      <c r="H60" s="39" t="s">
        <v>217</v>
      </c>
      <c r="I60" s="1" t="s">
        <v>677</v>
      </c>
    </row>
    <row r="61" spans="3:9" x14ac:dyDescent="0.25">
      <c r="C61" s="1">
        <v>1753963</v>
      </c>
      <c r="D61" s="1"/>
      <c r="H61" s="39" t="s">
        <v>218</v>
      </c>
      <c r="I61" s="1" t="s">
        <v>678</v>
      </c>
    </row>
    <row r="62" spans="3:9" x14ac:dyDescent="0.25">
      <c r="C62" s="1">
        <v>1708603</v>
      </c>
      <c r="D62" s="1"/>
      <c r="H62" s="39" t="s">
        <v>219</v>
      </c>
      <c r="I62" s="1" t="s">
        <v>679</v>
      </c>
    </row>
    <row r="63" spans="3:9" x14ac:dyDescent="0.25">
      <c r="C63" s="1">
        <v>1742294</v>
      </c>
      <c r="D63" s="1"/>
      <c r="H63" s="39" t="s">
        <v>220</v>
      </c>
      <c r="I63" s="1" t="s">
        <v>680</v>
      </c>
    </row>
    <row r="64" spans="3:9" x14ac:dyDescent="0.25">
      <c r="C64" s="1">
        <v>1738286</v>
      </c>
      <c r="D64" s="1"/>
      <c r="H64" s="39" t="s">
        <v>221</v>
      </c>
      <c r="I64" s="1" t="s">
        <v>681</v>
      </c>
    </row>
    <row r="65" spans="3:9" x14ac:dyDescent="0.25">
      <c r="C65" s="1">
        <v>1738094</v>
      </c>
      <c r="D65" s="1"/>
      <c r="H65" s="39" t="s">
        <v>222</v>
      </c>
      <c r="I65" s="1" t="s">
        <v>682</v>
      </c>
    </row>
    <row r="66" spans="3:9" x14ac:dyDescent="0.25">
      <c r="C66" s="1">
        <v>1741290</v>
      </c>
      <c r="D66" s="1"/>
      <c r="H66" s="39" t="s">
        <v>223</v>
      </c>
      <c r="I66" s="1" t="s">
        <v>683</v>
      </c>
    </row>
    <row r="67" spans="3:9" x14ac:dyDescent="0.25">
      <c r="C67" s="1">
        <v>1743088</v>
      </c>
      <c r="D67" s="1"/>
      <c r="H67" s="39" t="s">
        <v>224</v>
      </c>
      <c r="I67" s="1" t="s">
        <v>684</v>
      </c>
    </row>
    <row r="68" spans="3:9" x14ac:dyDescent="0.25">
      <c r="C68" s="1">
        <v>1767177</v>
      </c>
      <c r="D68" s="1"/>
      <c r="H68" s="39" t="s">
        <v>225</v>
      </c>
      <c r="I68" s="1" t="s">
        <v>685</v>
      </c>
    </row>
    <row r="69" spans="3:9" x14ac:dyDescent="0.25">
      <c r="C69" s="1">
        <v>1763649</v>
      </c>
      <c r="D69" s="1"/>
      <c r="H69" s="39" t="s">
        <v>226</v>
      </c>
      <c r="I69" s="1" t="s">
        <v>686</v>
      </c>
    </row>
    <row r="70" spans="3:9" x14ac:dyDescent="0.25">
      <c r="C70" s="1">
        <v>1764722</v>
      </c>
      <c r="D70" s="1"/>
      <c r="H70" s="39" t="s">
        <v>227</v>
      </c>
      <c r="I70" s="1" t="s">
        <v>687</v>
      </c>
    </row>
    <row r="71" spans="3:9" x14ac:dyDescent="0.25">
      <c r="C71" s="1">
        <v>1763203</v>
      </c>
      <c r="D71" s="1"/>
      <c r="H71" s="39" t="s">
        <v>228</v>
      </c>
      <c r="I71" s="1" t="s">
        <v>688</v>
      </c>
    </row>
    <row r="72" spans="3:9" x14ac:dyDescent="0.25">
      <c r="C72" s="1">
        <v>1767675</v>
      </c>
      <c r="D72" s="1"/>
      <c r="H72" s="39" t="s">
        <v>229</v>
      </c>
      <c r="I72" s="1" t="s">
        <v>689</v>
      </c>
    </row>
    <row r="73" spans="3:9" x14ac:dyDescent="0.25">
      <c r="C73" s="1">
        <v>1771446</v>
      </c>
      <c r="D73" s="1"/>
      <c r="H73" s="39" t="s">
        <v>230</v>
      </c>
      <c r="I73" s="1" t="s">
        <v>690</v>
      </c>
    </row>
    <row r="74" spans="3:9" x14ac:dyDescent="0.25">
      <c r="C74" s="1">
        <v>1767316</v>
      </c>
      <c r="D74" s="1"/>
      <c r="H74" s="39" t="s">
        <v>231</v>
      </c>
      <c r="I74" s="1" t="s">
        <v>691</v>
      </c>
    </row>
    <row r="75" spans="3:9" x14ac:dyDescent="0.25">
      <c r="C75" s="1">
        <v>1771580</v>
      </c>
      <c r="D75" s="1"/>
      <c r="H75" s="39" t="s">
        <v>232</v>
      </c>
      <c r="I75" s="1" t="s">
        <v>692</v>
      </c>
    </row>
    <row r="76" spans="3:9" x14ac:dyDescent="0.25">
      <c r="C76" s="1">
        <v>1764887</v>
      </c>
      <c r="D76" s="1"/>
      <c r="H76" s="39" t="s">
        <v>233</v>
      </c>
      <c r="I76" s="1" t="s">
        <v>693</v>
      </c>
    </row>
    <row r="77" spans="3:9" x14ac:dyDescent="0.25">
      <c r="C77" s="1">
        <v>1778598</v>
      </c>
      <c r="D77" s="1"/>
      <c r="H77" s="39" t="s">
        <v>234</v>
      </c>
      <c r="I77" s="1" t="s">
        <v>694</v>
      </c>
    </row>
    <row r="78" spans="3:9" x14ac:dyDescent="0.25">
      <c r="C78" s="1">
        <v>1819040</v>
      </c>
      <c r="D78" s="1"/>
      <c r="H78" s="39" t="s">
        <v>235</v>
      </c>
      <c r="I78" s="1" t="s">
        <v>695</v>
      </c>
    </row>
    <row r="79" spans="3:9" x14ac:dyDescent="0.25">
      <c r="C79" s="1">
        <v>1830632</v>
      </c>
      <c r="D79" s="1"/>
      <c r="H79" s="39" t="s">
        <v>236</v>
      </c>
      <c r="I79" s="1" t="s">
        <v>696</v>
      </c>
    </row>
    <row r="80" spans="3:9" x14ac:dyDescent="0.25">
      <c r="C80" s="1">
        <v>1824662</v>
      </c>
      <c r="D80" s="1"/>
      <c r="H80" s="39" t="s">
        <v>237</v>
      </c>
      <c r="I80" s="1" t="s">
        <v>697</v>
      </c>
    </row>
    <row r="81" spans="3:9" x14ac:dyDescent="0.25">
      <c r="C81" s="1">
        <v>1753962</v>
      </c>
      <c r="D81" s="1"/>
      <c r="H81" s="39" t="s">
        <v>238</v>
      </c>
      <c r="I81" s="1" t="s">
        <v>698</v>
      </c>
    </row>
    <row r="82" spans="3:9" x14ac:dyDescent="0.25">
      <c r="C82" s="1">
        <v>1777964</v>
      </c>
      <c r="D82" s="1"/>
      <c r="H82" s="39" t="s">
        <v>239</v>
      </c>
      <c r="I82" s="1" t="s">
        <v>699</v>
      </c>
    </row>
    <row r="83" spans="3:9" x14ac:dyDescent="0.25">
      <c r="C83" s="1">
        <v>1828310</v>
      </c>
      <c r="D83" s="1"/>
      <c r="H83" s="39" t="s">
        <v>240</v>
      </c>
      <c r="I83" s="1" t="s">
        <v>700</v>
      </c>
    </row>
    <row r="84" spans="3:9" x14ac:dyDescent="0.25">
      <c r="C84" s="1">
        <v>1742295</v>
      </c>
      <c r="D84" s="1"/>
      <c r="H84" s="39" t="s">
        <v>241</v>
      </c>
      <c r="I84" s="1" t="s">
        <v>701</v>
      </c>
    </row>
    <row r="85" spans="3:9" x14ac:dyDescent="0.25">
      <c r="C85" s="1">
        <v>1826175</v>
      </c>
      <c r="D85" s="1"/>
      <c r="H85" s="39" t="s">
        <v>242</v>
      </c>
      <c r="I85" s="1" t="s">
        <v>702</v>
      </c>
    </row>
    <row r="86" spans="3:9" x14ac:dyDescent="0.25">
      <c r="C86" s="1">
        <v>1779363</v>
      </c>
      <c r="D86" s="1"/>
      <c r="H86" s="39" t="s">
        <v>243</v>
      </c>
      <c r="I86" s="1" t="s">
        <v>703</v>
      </c>
    </row>
    <row r="87" spans="3:9" x14ac:dyDescent="0.25">
      <c r="C87" s="1">
        <v>1778601</v>
      </c>
      <c r="D87" s="1"/>
      <c r="H87" s="39" t="s">
        <v>244</v>
      </c>
      <c r="I87" s="1" t="s">
        <v>704</v>
      </c>
    </row>
    <row r="88" spans="3:9" x14ac:dyDescent="0.25">
      <c r="C88" s="1">
        <v>1785178</v>
      </c>
      <c r="D88" s="1"/>
      <c r="H88" s="39" t="s">
        <v>245</v>
      </c>
      <c r="I88" s="1" t="s">
        <v>705</v>
      </c>
    </row>
    <row r="89" spans="3:9" x14ac:dyDescent="0.25">
      <c r="C89" s="1">
        <v>1797393</v>
      </c>
      <c r="D89" s="1"/>
      <c r="H89" s="39" t="s">
        <v>246</v>
      </c>
      <c r="I89" s="1" t="s">
        <v>706</v>
      </c>
    </row>
    <row r="90" spans="3:9" x14ac:dyDescent="0.25">
      <c r="C90" s="1">
        <v>1807223</v>
      </c>
      <c r="D90" s="1"/>
      <c r="H90" s="39" t="s">
        <v>247</v>
      </c>
      <c r="I90" s="1" t="s">
        <v>707</v>
      </c>
    </row>
    <row r="91" spans="3:9" x14ac:dyDescent="0.25">
      <c r="C91" s="1">
        <v>1819041</v>
      </c>
      <c r="D91" s="1"/>
      <c r="H91" s="39" t="s">
        <v>248</v>
      </c>
      <c r="I91" s="1" t="s">
        <v>708</v>
      </c>
    </row>
    <row r="92" spans="3:9" x14ac:dyDescent="0.25">
      <c r="C92" s="1">
        <v>1827710</v>
      </c>
      <c r="D92" s="1"/>
      <c r="H92" s="39" t="s">
        <v>249</v>
      </c>
      <c r="I92" s="1" t="s">
        <v>709</v>
      </c>
    </row>
    <row r="93" spans="3:9" x14ac:dyDescent="0.25">
      <c r="C93" s="1">
        <v>1830633</v>
      </c>
      <c r="D93" s="1"/>
      <c r="H93" s="39" t="s">
        <v>250</v>
      </c>
      <c r="I93" s="1" t="s">
        <v>710</v>
      </c>
    </row>
    <row r="94" spans="3:9" x14ac:dyDescent="0.25">
      <c r="C94" s="1">
        <v>1824781</v>
      </c>
      <c r="D94" s="1"/>
      <c r="H94" s="39" t="s">
        <v>251</v>
      </c>
      <c r="I94" s="1" t="s">
        <v>711</v>
      </c>
    </row>
    <row r="95" spans="3:9" x14ac:dyDescent="0.25">
      <c r="C95" s="1">
        <v>1824319</v>
      </c>
      <c r="D95" s="1"/>
      <c r="H95" s="39" t="s">
        <v>252</v>
      </c>
      <c r="I95" s="1" t="s">
        <v>712</v>
      </c>
    </row>
    <row r="96" spans="3:9" x14ac:dyDescent="0.25">
      <c r="C96" s="1">
        <v>1823946</v>
      </c>
      <c r="D96" s="1"/>
      <c r="H96" s="39" t="s">
        <v>253</v>
      </c>
      <c r="I96" s="1" t="s">
        <v>713</v>
      </c>
    </row>
    <row r="97" spans="3:9" x14ac:dyDescent="0.25">
      <c r="C97" s="1">
        <v>1825918</v>
      </c>
      <c r="D97" s="1"/>
      <c r="H97" s="39" t="s">
        <v>254</v>
      </c>
      <c r="I97" s="1" t="s">
        <v>714</v>
      </c>
    </row>
    <row r="98" spans="3:9" x14ac:dyDescent="0.25">
      <c r="C98" s="1">
        <v>1832086</v>
      </c>
      <c r="D98" s="1"/>
      <c r="H98" s="39" t="s">
        <v>255</v>
      </c>
      <c r="I98" s="1" t="s">
        <v>715</v>
      </c>
    </row>
    <row r="99" spans="3:9" x14ac:dyDescent="0.25">
      <c r="C99" s="1">
        <v>1824461</v>
      </c>
      <c r="D99" s="1"/>
      <c r="H99" s="39" t="s">
        <v>256</v>
      </c>
      <c r="I99" s="1" t="s">
        <v>716</v>
      </c>
    </row>
    <row r="100" spans="3:9" x14ac:dyDescent="0.25">
      <c r="C100" s="1">
        <v>1869034</v>
      </c>
      <c r="D100" s="1"/>
      <c r="H100" s="39" t="s">
        <v>257</v>
      </c>
      <c r="I100" s="1" t="s">
        <v>717</v>
      </c>
    </row>
    <row r="101" spans="3:9" x14ac:dyDescent="0.25">
      <c r="C101" s="1">
        <v>1892564</v>
      </c>
      <c r="D101" s="1"/>
      <c r="H101" s="39" t="s">
        <v>258</v>
      </c>
      <c r="I101" s="1" t="s">
        <v>718</v>
      </c>
    </row>
    <row r="102" spans="3:9" x14ac:dyDescent="0.25">
      <c r="C102" s="1">
        <v>1876310</v>
      </c>
      <c r="D102" s="1"/>
      <c r="H102" s="39" t="s">
        <v>259</v>
      </c>
      <c r="I102" s="1" t="s">
        <v>719</v>
      </c>
    </row>
    <row r="103" spans="3:9" x14ac:dyDescent="0.25">
      <c r="C103" s="1">
        <v>1869306</v>
      </c>
      <c r="D103" s="1"/>
      <c r="H103" s="39" t="s">
        <v>260</v>
      </c>
      <c r="I103" s="1" t="s">
        <v>720</v>
      </c>
    </row>
    <row r="104" spans="3:9" x14ac:dyDescent="0.25">
      <c r="C104" s="1">
        <v>1824666</v>
      </c>
      <c r="D104" s="1"/>
      <c r="H104" s="39" t="s">
        <v>261</v>
      </c>
      <c r="I104" s="1" t="s">
        <v>721</v>
      </c>
    </row>
    <row r="105" spans="3:9" x14ac:dyDescent="0.25">
      <c r="C105" s="1">
        <v>1808407</v>
      </c>
      <c r="D105" s="1"/>
      <c r="H105" s="39" t="s">
        <v>262</v>
      </c>
      <c r="I105" s="1" t="s">
        <v>722</v>
      </c>
    </row>
    <row r="106" spans="3:9" x14ac:dyDescent="0.25">
      <c r="C106" s="1">
        <v>1777961</v>
      </c>
      <c r="D106" s="1"/>
      <c r="H106" s="39" t="s">
        <v>263</v>
      </c>
      <c r="I106" s="1" t="s">
        <v>723</v>
      </c>
    </row>
    <row r="107" spans="3:9" x14ac:dyDescent="0.25">
      <c r="C107" s="1">
        <v>1828316</v>
      </c>
      <c r="D107" s="1"/>
      <c r="H107" s="39" t="s">
        <v>264</v>
      </c>
      <c r="I107" s="1" t="s">
        <v>724</v>
      </c>
    </row>
    <row r="108" spans="3:9" x14ac:dyDescent="0.25">
      <c r="C108" s="1">
        <v>1896966</v>
      </c>
      <c r="D108" s="1"/>
      <c r="H108" s="39" t="s">
        <v>265</v>
      </c>
      <c r="I108" s="1" t="s">
        <v>725</v>
      </c>
    </row>
    <row r="109" spans="3:9" x14ac:dyDescent="0.25">
      <c r="C109" s="1">
        <v>1826174</v>
      </c>
      <c r="D109" s="1"/>
      <c r="H109" s="39" t="s">
        <v>266</v>
      </c>
      <c r="I109" s="1" t="s">
        <v>726</v>
      </c>
    </row>
    <row r="110" spans="3:9" x14ac:dyDescent="0.25">
      <c r="C110" s="1">
        <v>1845303</v>
      </c>
      <c r="D110" s="1"/>
      <c r="H110" s="39" t="s">
        <v>267</v>
      </c>
      <c r="I110" s="1" t="s">
        <v>727</v>
      </c>
    </row>
    <row r="111" spans="3:9" x14ac:dyDescent="0.25">
      <c r="C111" s="1">
        <v>1869037</v>
      </c>
      <c r="D111" s="1"/>
      <c r="H111" s="39" t="s">
        <v>268</v>
      </c>
      <c r="I111" s="1" t="s">
        <v>728</v>
      </c>
    </row>
    <row r="112" spans="3:9" x14ac:dyDescent="0.25">
      <c r="C112" s="1">
        <v>1870820</v>
      </c>
      <c r="D112" s="1"/>
      <c r="H112" s="39" t="s">
        <v>269</v>
      </c>
      <c r="I112" s="1" t="s">
        <v>729</v>
      </c>
    </row>
    <row r="113" spans="3:9" x14ac:dyDescent="0.25">
      <c r="C113" s="1">
        <v>1866759</v>
      </c>
      <c r="D113" s="1"/>
      <c r="H113" s="39" t="s">
        <v>270</v>
      </c>
      <c r="I113" s="1" t="s">
        <v>730</v>
      </c>
    </row>
    <row r="114" spans="3:9" x14ac:dyDescent="0.25">
      <c r="C114" s="1">
        <v>1876301</v>
      </c>
      <c r="D114" s="1"/>
      <c r="H114" s="39" t="s">
        <v>271</v>
      </c>
      <c r="I114" s="1" t="s">
        <v>731</v>
      </c>
    </row>
    <row r="115" spans="3:9" x14ac:dyDescent="0.25">
      <c r="C115" s="1">
        <v>1870396</v>
      </c>
      <c r="D115" s="1"/>
      <c r="H115" s="39" t="s">
        <v>272</v>
      </c>
      <c r="I115" s="1" t="s">
        <v>732</v>
      </c>
    </row>
    <row r="116" spans="3:9" x14ac:dyDescent="0.25">
      <c r="C116" s="1">
        <v>1871065</v>
      </c>
      <c r="D116" s="1"/>
      <c r="H116" s="39" t="s">
        <v>273</v>
      </c>
      <c r="I116" s="1" t="s">
        <v>733</v>
      </c>
    </row>
    <row r="117" spans="3:9" x14ac:dyDescent="0.25">
      <c r="C117" s="1">
        <v>1877939</v>
      </c>
      <c r="D117" s="1"/>
      <c r="H117" s="39" t="s">
        <v>274</v>
      </c>
      <c r="I117" s="1" t="s">
        <v>734</v>
      </c>
    </row>
    <row r="118" spans="3:9" x14ac:dyDescent="0.25">
      <c r="C118" s="1">
        <v>1885457</v>
      </c>
      <c r="D118" s="1"/>
      <c r="H118" s="39" t="s">
        <v>275</v>
      </c>
      <c r="I118" s="1" t="s">
        <v>735</v>
      </c>
    </row>
    <row r="119" spans="3:9" x14ac:dyDescent="0.25">
      <c r="C119" s="1">
        <v>1886203</v>
      </c>
      <c r="D119" s="1"/>
      <c r="H119" s="39" t="s">
        <v>276</v>
      </c>
      <c r="I119" s="1" t="s">
        <v>736</v>
      </c>
    </row>
    <row r="120" spans="3:9" x14ac:dyDescent="0.25">
      <c r="C120" s="1">
        <v>1880969</v>
      </c>
      <c r="D120" s="1"/>
      <c r="H120" s="39" t="s">
        <v>277</v>
      </c>
      <c r="I120" s="1" t="s">
        <v>737</v>
      </c>
    </row>
    <row r="121" spans="3:9" x14ac:dyDescent="0.25">
      <c r="C121" s="1">
        <v>1870566</v>
      </c>
      <c r="D121" s="1"/>
      <c r="H121" s="39" t="s">
        <v>278</v>
      </c>
      <c r="I121" s="1" t="s">
        <v>738</v>
      </c>
    </row>
    <row r="122" spans="3:9" x14ac:dyDescent="0.25">
      <c r="C122" s="1">
        <v>1869310</v>
      </c>
      <c r="D122" s="1"/>
      <c r="H122" s="39" t="s">
        <v>279</v>
      </c>
      <c r="I122" s="1" t="s">
        <v>739</v>
      </c>
    </row>
    <row r="123" spans="3:9" x14ac:dyDescent="0.25">
      <c r="C123" s="1">
        <v>1870725</v>
      </c>
      <c r="D123" s="1"/>
      <c r="H123" s="39" t="s">
        <v>280</v>
      </c>
      <c r="I123" s="1" t="s">
        <v>740</v>
      </c>
    </row>
    <row r="124" spans="3:9" x14ac:dyDescent="0.25">
      <c r="C124" s="1">
        <v>1899188</v>
      </c>
      <c r="D124" s="1"/>
      <c r="H124" s="39" t="s">
        <v>281</v>
      </c>
      <c r="I124" s="1" t="s">
        <v>741</v>
      </c>
    </row>
    <row r="125" spans="3:9" x14ac:dyDescent="0.25">
      <c r="C125" s="1">
        <v>1904860</v>
      </c>
      <c r="D125" s="1"/>
      <c r="H125" s="39" t="s">
        <v>282</v>
      </c>
      <c r="I125" s="1" t="s">
        <v>742</v>
      </c>
    </row>
    <row r="126" spans="3:9" x14ac:dyDescent="0.25">
      <c r="C126" s="1">
        <v>1948185</v>
      </c>
      <c r="D126" s="1"/>
      <c r="H126" s="39" t="s">
        <v>283</v>
      </c>
      <c r="I126" s="1" t="s">
        <v>743</v>
      </c>
    </row>
    <row r="127" spans="3:9" x14ac:dyDescent="0.25">
      <c r="C127" s="1">
        <v>1940852</v>
      </c>
      <c r="D127" s="1"/>
      <c r="H127" s="39" t="s">
        <v>284</v>
      </c>
      <c r="I127" s="1" t="s">
        <v>744</v>
      </c>
    </row>
    <row r="128" spans="3:9" x14ac:dyDescent="0.25">
      <c r="C128" s="1">
        <v>1978584</v>
      </c>
      <c r="D128" s="1"/>
      <c r="H128" s="39" t="s">
        <v>285</v>
      </c>
      <c r="I128" s="1" t="s">
        <v>745</v>
      </c>
    </row>
    <row r="129" spans="3:9" x14ac:dyDescent="0.25">
      <c r="C129" s="1">
        <v>1874183</v>
      </c>
      <c r="D129" s="1"/>
      <c r="H129" s="39" t="s">
        <v>286</v>
      </c>
      <c r="I129" s="1" t="s">
        <v>746</v>
      </c>
    </row>
    <row r="130" spans="3:9" x14ac:dyDescent="0.25">
      <c r="C130" s="1">
        <v>1927594</v>
      </c>
      <c r="D130" s="1"/>
      <c r="H130" s="39" t="s">
        <v>287</v>
      </c>
      <c r="I130" s="1" t="s">
        <v>747</v>
      </c>
    </row>
    <row r="131" spans="3:9" x14ac:dyDescent="0.25">
      <c r="C131" s="1">
        <v>1848382</v>
      </c>
      <c r="D131" s="1"/>
      <c r="H131" s="39" t="s">
        <v>288</v>
      </c>
      <c r="I131" s="1" t="s">
        <v>748</v>
      </c>
    </row>
    <row r="132" spans="3:9" x14ac:dyDescent="0.25">
      <c r="C132" s="1">
        <v>1949160</v>
      </c>
      <c r="D132" s="1"/>
      <c r="H132" s="39" t="s">
        <v>289</v>
      </c>
      <c r="I132" s="1" t="s">
        <v>749</v>
      </c>
    </row>
    <row r="133" spans="3:9" x14ac:dyDescent="0.25">
      <c r="C133" s="1">
        <v>1870880</v>
      </c>
      <c r="D133" s="1"/>
      <c r="H133" s="39" t="s">
        <v>290</v>
      </c>
      <c r="I133" s="1" t="s">
        <v>750</v>
      </c>
    </row>
    <row r="134" spans="3:9" x14ac:dyDescent="0.25">
      <c r="C134" s="1">
        <v>1896965</v>
      </c>
      <c r="D134" s="1"/>
      <c r="H134" s="39" t="s">
        <v>291</v>
      </c>
      <c r="I134" s="1" t="s">
        <v>751</v>
      </c>
    </row>
    <row r="135" spans="3:9" x14ac:dyDescent="0.25">
      <c r="C135" s="1">
        <v>1923227</v>
      </c>
      <c r="D135" s="1"/>
      <c r="H135" s="39" t="s">
        <v>292</v>
      </c>
      <c r="I135" s="1" t="s">
        <v>752</v>
      </c>
    </row>
    <row r="136" spans="3:9" x14ac:dyDescent="0.25">
      <c r="C136" s="1">
        <v>1919076</v>
      </c>
      <c r="D136" s="1"/>
      <c r="H136" s="39" t="s">
        <v>293</v>
      </c>
      <c r="I136" s="1" t="s">
        <v>753</v>
      </c>
    </row>
    <row r="137" spans="3:9" x14ac:dyDescent="0.25">
      <c r="C137" s="1">
        <v>1918409</v>
      </c>
      <c r="D137" s="1"/>
      <c r="H137" s="39" t="s">
        <v>294</v>
      </c>
      <c r="I137" s="1" t="s">
        <v>754</v>
      </c>
    </row>
    <row r="138" spans="3:9" x14ac:dyDescent="0.25">
      <c r="C138" s="1">
        <v>1945009</v>
      </c>
      <c r="D138" s="1"/>
      <c r="H138" s="39" t="s">
        <v>295</v>
      </c>
      <c r="I138" s="1" t="s">
        <v>755</v>
      </c>
    </row>
    <row r="139" spans="3:9" x14ac:dyDescent="0.25">
      <c r="C139" s="1">
        <v>1963028</v>
      </c>
      <c r="D139" s="1"/>
      <c r="H139" s="39" t="s">
        <v>296</v>
      </c>
      <c r="I139" s="1" t="s">
        <v>756</v>
      </c>
    </row>
    <row r="140" spans="3:9" x14ac:dyDescent="0.25">
      <c r="C140" s="1">
        <v>1944916</v>
      </c>
      <c r="D140" s="1"/>
      <c r="H140" s="39" t="s">
        <v>297</v>
      </c>
      <c r="I140" s="1" t="s">
        <v>757</v>
      </c>
    </row>
    <row r="141" spans="3:9" x14ac:dyDescent="0.25">
      <c r="C141" s="1">
        <v>1957967</v>
      </c>
      <c r="D141" s="1"/>
      <c r="H141" s="39" t="s">
        <v>298</v>
      </c>
      <c r="I141" s="1" t="s">
        <v>758</v>
      </c>
    </row>
    <row r="142" spans="3:9" x14ac:dyDescent="0.25">
      <c r="C142" s="1">
        <v>1938557</v>
      </c>
      <c r="D142" s="1"/>
      <c r="H142" s="39" t="s">
        <v>299</v>
      </c>
      <c r="I142" s="1" t="s">
        <v>759</v>
      </c>
    </row>
    <row r="143" spans="3:9" x14ac:dyDescent="0.25">
      <c r="C143" s="1">
        <v>1942692</v>
      </c>
      <c r="D143" s="1"/>
      <c r="H143" s="39" t="s">
        <v>300</v>
      </c>
      <c r="I143" s="1" t="s">
        <v>760</v>
      </c>
    </row>
    <row r="144" spans="3:9" x14ac:dyDescent="0.25">
      <c r="C144" s="1">
        <v>1952707</v>
      </c>
      <c r="D144" s="1"/>
      <c r="H144" s="39" t="s">
        <v>301</v>
      </c>
      <c r="I144" s="1" t="s">
        <v>761</v>
      </c>
    </row>
    <row r="145" spans="3:9" x14ac:dyDescent="0.25">
      <c r="C145" s="1">
        <v>1941339</v>
      </c>
      <c r="D145" s="1"/>
      <c r="H145" s="39" t="s">
        <v>302</v>
      </c>
      <c r="I145" s="1" t="s">
        <v>762</v>
      </c>
    </row>
    <row r="146" spans="3:9" x14ac:dyDescent="0.25">
      <c r="C146" s="1">
        <v>1944895</v>
      </c>
      <c r="D146" s="1"/>
      <c r="H146" s="39" t="s">
        <v>303</v>
      </c>
      <c r="I146" s="1" t="s">
        <v>763</v>
      </c>
    </row>
    <row r="147" spans="3:9" x14ac:dyDescent="0.25">
      <c r="C147" s="1">
        <v>1939714</v>
      </c>
      <c r="D147" s="1"/>
      <c r="H147" s="39" t="s">
        <v>304</v>
      </c>
      <c r="I147" s="1" t="s">
        <v>764</v>
      </c>
    </row>
    <row r="148" spans="3:9" x14ac:dyDescent="0.25">
      <c r="C148" s="1">
        <v>1948184</v>
      </c>
      <c r="D148" s="1"/>
      <c r="H148" s="39" t="s">
        <v>305</v>
      </c>
      <c r="I148" s="1" t="s">
        <v>765</v>
      </c>
    </row>
    <row r="149" spans="3:9" x14ac:dyDescent="0.25">
      <c r="C149" s="1">
        <v>1940850</v>
      </c>
      <c r="D149" s="1"/>
      <c r="H149" s="39" t="s">
        <v>306</v>
      </c>
      <c r="I149" s="1" t="s">
        <v>766</v>
      </c>
    </row>
    <row r="150" spans="3:9" x14ac:dyDescent="0.25">
      <c r="C150" s="1">
        <v>1942190</v>
      </c>
      <c r="D150" s="1"/>
      <c r="H150" s="39" t="s">
        <v>307</v>
      </c>
      <c r="I150" s="1" t="s">
        <v>767</v>
      </c>
    </row>
    <row r="151" spans="3:9" x14ac:dyDescent="0.25">
      <c r="C151" s="1">
        <v>1969484</v>
      </c>
      <c r="D151" s="1"/>
      <c r="H151" s="39" t="s">
        <v>308</v>
      </c>
      <c r="I151" s="1" t="s">
        <v>768</v>
      </c>
    </row>
    <row r="152" spans="3:9" x14ac:dyDescent="0.25">
      <c r="C152" s="1">
        <v>1978583</v>
      </c>
      <c r="D152" s="1"/>
      <c r="H152" s="39" t="s">
        <v>309</v>
      </c>
      <c r="I152" s="1" t="s">
        <v>769</v>
      </c>
    </row>
    <row r="153" spans="3:9" x14ac:dyDescent="0.25">
      <c r="C153" s="1">
        <v>1985904</v>
      </c>
      <c r="D153" s="1"/>
      <c r="H153" s="39" t="s">
        <v>310</v>
      </c>
      <c r="I153" s="1" t="s">
        <v>770</v>
      </c>
    </row>
    <row r="154" spans="3:9" x14ac:dyDescent="0.25">
      <c r="C154" s="1">
        <v>2050826</v>
      </c>
      <c r="D154" s="1"/>
      <c r="H154" s="39" t="s">
        <v>311</v>
      </c>
      <c r="I154" s="1" t="s">
        <v>771</v>
      </c>
    </row>
    <row r="155" spans="3:9" x14ac:dyDescent="0.25">
      <c r="C155" s="1">
        <v>2045461</v>
      </c>
      <c r="D155" s="1"/>
      <c r="H155" s="39" t="s">
        <v>312</v>
      </c>
      <c r="I155" s="1" t="s">
        <v>772</v>
      </c>
    </row>
    <row r="156" spans="3:9" x14ac:dyDescent="0.25">
      <c r="C156" s="1">
        <v>2062967</v>
      </c>
      <c r="D156" s="1"/>
      <c r="H156" s="39" t="s">
        <v>313</v>
      </c>
      <c r="I156" s="1" t="s">
        <v>773</v>
      </c>
    </row>
    <row r="157" spans="3:9" x14ac:dyDescent="0.25">
      <c r="C157" s="1">
        <v>1941095</v>
      </c>
      <c r="D157" s="1"/>
      <c r="H157" s="39" t="s">
        <v>314</v>
      </c>
      <c r="I157" s="1" t="s">
        <v>774</v>
      </c>
    </row>
    <row r="158" spans="3:9" x14ac:dyDescent="0.25">
      <c r="C158" s="1">
        <v>1927593</v>
      </c>
      <c r="D158" s="1"/>
      <c r="H158" s="39" t="s">
        <v>315</v>
      </c>
      <c r="I158" s="1" t="s">
        <v>775</v>
      </c>
    </row>
    <row r="159" spans="3:9" x14ac:dyDescent="0.25">
      <c r="C159" s="1">
        <v>1949153</v>
      </c>
      <c r="D159" s="1"/>
      <c r="H159" s="39" t="s">
        <v>316</v>
      </c>
      <c r="I159" s="1" t="s">
        <v>776</v>
      </c>
    </row>
    <row r="160" spans="3:9" x14ac:dyDescent="0.25">
      <c r="C160" s="1">
        <v>1969571</v>
      </c>
      <c r="D160" s="1"/>
      <c r="H160" s="39" t="s">
        <v>317</v>
      </c>
      <c r="I160" s="1" t="s">
        <v>777</v>
      </c>
    </row>
    <row r="161" spans="3:9" x14ac:dyDescent="0.25">
      <c r="C161" s="1">
        <v>1951469</v>
      </c>
      <c r="D161" s="1"/>
      <c r="H161" s="39" t="s">
        <v>318</v>
      </c>
      <c r="I161" s="1" t="s">
        <v>778</v>
      </c>
    </row>
    <row r="162" spans="3:9" x14ac:dyDescent="0.25">
      <c r="C162" s="1">
        <v>1919442</v>
      </c>
      <c r="D162" s="1"/>
      <c r="H162" s="39" t="s">
        <v>319</v>
      </c>
      <c r="I162" s="1" t="s">
        <v>779</v>
      </c>
    </row>
    <row r="163" spans="3:9" x14ac:dyDescent="0.25">
      <c r="C163" s="1">
        <v>1923226</v>
      </c>
      <c r="D163" s="1"/>
      <c r="H163" s="39" t="s">
        <v>320</v>
      </c>
      <c r="I163" s="1" t="s">
        <v>780</v>
      </c>
    </row>
    <row r="164" spans="3:9" x14ac:dyDescent="0.25">
      <c r="C164" s="1">
        <v>1991910</v>
      </c>
      <c r="D164" s="1"/>
      <c r="H164" s="39" t="s">
        <v>321</v>
      </c>
      <c r="I164" s="1" t="s">
        <v>781</v>
      </c>
    </row>
    <row r="165" spans="3:9" x14ac:dyDescent="0.25">
      <c r="C165" s="1">
        <v>2003161</v>
      </c>
      <c r="D165" s="1"/>
      <c r="H165" s="39" t="s">
        <v>322</v>
      </c>
      <c r="I165" s="1" t="s">
        <v>782</v>
      </c>
    </row>
    <row r="166" spans="3:9" x14ac:dyDescent="0.25">
      <c r="C166" s="1">
        <v>2013388</v>
      </c>
      <c r="D166" s="1"/>
      <c r="H166" s="39" t="s">
        <v>323</v>
      </c>
      <c r="I166" s="1" t="s">
        <v>783</v>
      </c>
    </row>
    <row r="167" spans="3:9" x14ac:dyDescent="0.25">
      <c r="C167" s="1">
        <v>2009514</v>
      </c>
      <c r="D167" s="1"/>
      <c r="H167" s="39" t="s">
        <v>324</v>
      </c>
      <c r="I167" s="1" t="s">
        <v>784</v>
      </c>
    </row>
    <row r="168" spans="3:9" x14ac:dyDescent="0.25">
      <c r="C168" s="1">
        <v>2050828</v>
      </c>
      <c r="D168" s="1"/>
      <c r="H168" s="39" t="s">
        <v>325</v>
      </c>
      <c r="I168" s="1" t="s">
        <v>785</v>
      </c>
    </row>
    <row r="169" spans="3:9" x14ac:dyDescent="0.25">
      <c r="C169" s="1">
        <v>2045464</v>
      </c>
      <c r="D169" s="1"/>
      <c r="H169" s="39" t="s">
        <v>326</v>
      </c>
      <c r="I169" s="1" t="s">
        <v>786</v>
      </c>
    </row>
    <row r="170" spans="3:9" x14ac:dyDescent="0.25">
      <c r="C170" s="1">
        <v>2044729</v>
      </c>
      <c r="D170" s="1"/>
      <c r="H170" s="39" t="s">
        <v>327</v>
      </c>
      <c r="I170" s="1" t="s">
        <v>787</v>
      </c>
    </row>
    <row r="171" spans="3:9" x14ac:dyDescent="0.25">
      <c r="C171" s="1">
        <v>2036500</v>
      </c>
      <c r="D171" s="1"/>
      <c r="H171" s="39" t="s">
        <v>328</v>
      </c>
      <c r="I171" s="1" t="s">
        <v>788</v>
      </c>
    </row>
    <row r="172" spans="3:9" x14ac:dyDescent="0.25">
      <c r="C172" s="1">
        <v>2035291</v>
      </c>
      <c r="D172" s="1"/>
      <c r="H172" s="39" t="s">
        <v>329</v>
      </c>
      <c r="I172" s="1" t="s">
        <v>789</v>
      </c>
    </row>
    <row r="173" spans="3:9" x14ac:dyDescent="0.25">
      <c r="C173" s="1">
        <v>2039110</v>
      </c>
      <c r="D173" s="1"/>
      <c r="H173" s="39" t="s">
        <v>330</v>
      </c>
      <c r="I173" s="1" t="s">
        <v>790</v>
      </c>
    </row>
    <row r="174" spans="3:9" x14ac:dyDescent="0.25">
      <c r="C174" s="1">
        <v>2033188</v>
      </c>
      <c r="D174" s="1"/>
      <c r="H174" s="39" t="s">
        <v>331</v>
      </c>
      <c r="I174" s="1" t="s">
        <v>791</v>
      </c>
    </row>
    <row r="175" spans="3:9" x14ac:dyDescent="0.25">
      <c r="C175" s="1">
        <v>2046944</v>
      </c>
      <c r="D175" s="1"/>
      <c r="H175" s="39" t="s">
        <v>332</v>
      </c>
      <c r="I175" s="1" t="s">
        <v>792</v>
      </c>
    </row>
    <row r="176" spans="3:9" x14ac:dyDescent="0.25">
      <c r="C176" s="1">
        <v>2038283</v>
      </c>
      <c r="D176" s="1"/>
      <c r="H176" s="39" t="s">
        <v>333</v>
      </c>
      <c r="I176" s="1" t="s">
        <v>793</v>
      </c>
    </row>
    <row r="177" spans="3:9" x14ac:dyDescent="0.25">
      <c r="C177" s="1">
        <v>2037435</v>
      </c>
      <c r="D177" s="1"/>
      <c r="H177" s="39" t="s">
        <v>334</v>
      </c>
      <c r="I177" s="1" t="s">
        <v>794</v>
      </c>
    </row>
    <row r="178" spans="3:9" x14ac:dyDescent="0.25">
      <c r="C178" s="1">
        <v>2039286</v>
      </c>
      <c r="D178" s="1"/>
      <c r="H178" s="39" t="s">
        <v>335</v>
      </c>
      <c r="I178" s="1" t="s">
        <v>795</v>
      </c>
    </row>
    <row r="179" spans="3:9" x14ac:dyDescent="0.25">
      <c r="C179" s="1">
        <v>2035326</v>
      </c>
      <c r="D179" s="1"/>
      <c r="H179" s="39" t="s">
        <v>336</v>
      </c>
      <c r="I179" s="1" t="s">
        <v>796</v>
      </c>
    </row>
    <row r="180" spans="3:9" x14ac:dyDescent="0.25">
      <c r="C180" s="1">
        <v>2062966</v>
      </c>
      <c r="D180" s="1"/>
      <c r="H180" s="39" t="s">
        <v>337</v>
      </c>
      <c r="I180" s="1" t="s">
        <v>797</v>
      </c>
    </row>
    <row r="181" spans="3:9" x14ac:dyDescent="0.25">
      <c r="C181" s="1">
        <v>2004404</v>
      </c>
      <c r="D181" s="1"/>
      <c r="H181" s="39" t="s">
        <v>338</v>
      </c>
      <c r="I181" s="1" t="s">
        <v>798</v>
      </c>
    </row>
    <row r="182" spans="3:9" x14ac:dyDescent="0.25">
      <c r="C182" s="1">
        <v>2093251</v>
      </c>
      <c r="D182" s="1"/>
      <c r="H182" s="39" t="s">
        <v>339</v>
      </c>
      <c r="I182" s="1" t="s">
        <v>799</v>
      </c>
    </row>
    <row r="183" spans="3:9" x14ac:dyDescent="0.25">
      <c r="C183" s="1">
        <v>2047578</v>
      </c>
      <c r="D183" s="1"/>
      <c r="H183" s="39" t="s">
        <v>340</v>
      </c>
      <c r="I183" s="1" t="s">
        <v>800</v>
      </c>
    </row>
    <row r="184" spans="3:9" x14ac:dyDescent="0.25">
      <c r="C184" s="1">
        <v>2037604</v>
      </c>
      <c r="D184" s="1"/>
      <c r="H184" s="39" t="s">
        <v>341</v>
      </c>
      <c r="I184" s="1" t="s">
        <v>801</v>
      </c>
    </row>
    <row r="185" spans="3:9" x14ac:dyDescent="0.25">
      <c r="C185" s="1">
        <v>2040439</v>
      </c>
      <c r="D185" s="1"/>
      <c r="H185" s="39" t="s">
        <v>342</v>
      </c>
      <c r="I185" s="1" t="s">
        <v>802</v>
      </c>
    </row>
    <row r="186" spans="3:9" x14ac:dyDescent="0.25">
      <c r="C186" s="1">
        <v>1988287</v>
      </c>
      <c r="D186" s="1"/>
      <c r="H186" s="39" t="s">
        <v>343</v>
      </c>
      <c r="I186" s="1" t="s">
        <v>803</v>
      </c>
    </row>
    <row r="187" spans="3:9" x14ac:dyDescent="0.25">
      <c r="C187" s="1">
        <v>2000824</v>
      </c>
      <c r="D187" s="1"/>
      <c r="H187" s="39" t="s">
        <v>344</v>
      </c>
      <c r="I187" s="1" t="s">
        <v>804</v>
      </c>
    </row>
    <row r="188" spans="3:9" x14ac:dyDescent="0.25">
      <c r="C188" s="1">
        <v>2075756</v>
      </c>
      <c r="D188" s="1"/>
      <c r="H188" s="39" t="s">
        <v>345</v>
      </c>
      <c r="I188" s="1" t="s">
        <v>805</v>
      </c>
    </row>
    <row r="189" spans="3:9" x14ac:dyDescent="0.25">
      <c r="C189" s="1">
        <v>2080583</v>
      </c>
      <c r="D189" s="1"/>
      <c r="H189" s="39" t="s">
        <v>346</v>
      </c>
      <c r="I189" s="1" t="s">
        <v>806</v>
      </c>
    </row>
    <row r="190" spans="3:9" x14ac:dyDescent="0.25">
      <c r="C190" s="1">
        <v>2108912</v>
      </c>
      <c r="D190" s="1"/>
      <c r="H190" s="39" t="s">
        <v>347</v>
      </c>
      <c r="I190" s="1" t="s">
        <v>807</v>
      </c>
    </row>
    <row r="191" spans="3:9" x14ac:dyDescent="0.25">
      <c r="C191" s="1">
        <v>2114917</v>
      </c>
      <c r="D191" s="1"/>
      <c r="H191" s="39" t="s">
        <v>348</v>
      </c>
      <c r="I191" s="1" t="s">
        <v>808</v>
      </c>
    </row>
    <row r="192" spans="3:9" x14ac:dyDescent="0.25">
      <c r="C192" s="1">
        <v>2097273</v>
      </c>
      <c r="D192" s="1"/>
      <c r="H192" s="39" t="s">
        <v>349</v>
      </c>
      <c r="I192" s="1" t="s">
        <v>809</v>
      </c>
    </row>
    <row r="193" spans="3:9" x14ac:dyDescent="0.25">
      <c r="C193" s="1">
        <v>2098548</v>
      </c>
      <c r="D193" s="1"/>
      <c r="H193" s="39" t="s">
        <v>350</v>
      </c>
      <c r="I193" s="1" t="s">
        <v>810</v>
      </c>
    </row>
    <row r="194" spans="3:9" x14ac:dyDescent="0.25">
      <c r="C194" s="1">
        <v>2110183</v>
      </c>
      <c r="D194" s="1"/>
      <c r="H194" s="39" t="s">
        <v>351</v>
      </c>
      <c r="I194" s="1" t="s">
        <v>811</v>
      </c>
    </row>
    <row r="195" spans="3:9" x14ac:dyDescent="0.25">
      <c r="C195" s="1">
        <v>2106984</v>
      </c>
      <c r="D195" s="1"/>
      <c r="H195" s="39" t="s">
        <v>352</v>
      </c>
      <c r="I195" s="1" t="s">
        <v>812</v>
      </c>
    </row>
    <row r="196" spans="3:9" x14ac:dyDescent="0.25">
      <c r="C196" s="1">
        <v>2110994</v>
      </c>
      <c r="D196" s="1"/>
      <c r="H196" s="39" t="s">
        <v>353</v>
      </c>
      <c r="I196" s="1" t="s">
        <v>813</v>
      </c>
    </row>
    <row r="197" spans="3:9" x14ac:dyDescent="0.25">
      <c r="C197" s="1">
        <v>2100591</v>
      </c>
      <c r="D197" s="1"/>
      <c r="H197" s="39" t="s">
        <v>354</v>
      </c>
      <c r="I197" s="1" t="s">
        <v>814</v>
      </c>
    </row>
    <row r="198" spans="3:9" x14ac:dyDescent="0.25">
      <c r="C198" s="1">
        <v>2102414</v>
      </c>
      <c r="D198" s="1"/>
      <c r="H198" s="39" t="s">
        <v>355</v>
      </c>
      <c r="I198" s="1" t="s">
        <v>815</v>
      </c>
    </row>
    <row r="199" spans="3:9" x14ac:dyDescent="0.25">
      <c r="C199" s="1">
        <v>2100741</v>
      </c>
      <c r="D199" s="1"/>
      <c r="H199" s="39" t="s">
        <v>356</v>
      </c>
      <c r="I199" s="1" t="s">
        <v>816</v>
      </c>
    </row>
    <row r="200" spans="3:9" x14ac:dyDescent="0.25">
      <c r="C200" s="1">
        <v>2098128</v>
      </c>
      <c r="D200" s="1"/>
      <c r="H200" s="39" t="s">
        <v>357</v>
      </c>
      <c r="I200" s="1" t="s">
        <v>817</v>
      </c>
    </row>
    <row r="201" spans="3:9" x14ac:dyDescent="0.25">
      <c r="C201" s="1">
        <v>2123797</v>
      </c>
      <c r="D201" s="1"/>
      <c r="H201" s="39" t="s">
        <v>358</v>
      </c>
      <c r="I201" s="1" t="s">
        <v>818</v>
      </c>
    </row>
    <row r="202" spans="3:9" x14ac:dyDescent="0.25">
      <c r="C202" s="1">
        <v>2128418</v>
      </c>
      <c r="D202" s="1"/>
      <c r="H202" s="39" t="s">
        <v>359</v>
      </c>
      <c r="I202" s="1" t="s">
        <v>819</v>
      </c>
    </row>
    <row r="203" spans="3:9" x14ac:dyDescent="0.25">
      <c r="C203" s="1">
        <v>2128168</v>
      </c>
      <c r="D203" s="1"/>
      <c r="H203" s="39" t="s">
        <v>360</v>
      </c>
      <c r="I203" s="1" t="s">
        <v>820</v>
      </c>
    </row>
    <row r="204" spans="3:9" x14ac:dyDescent="0.25">
      <c r="C204" s="1">
        <v>2165506</v>
      </c>
      <c r="D204" s="1"/>
      <c r="H204" s="39" t="s">
        <v>361</v>
      </c>
      <c r="I204" s="1" t="s">
        <v>821</v>
      </c>
    </row>
    <row r="205" spans="3:9" x14ac:dyDescent="0.25">
      <c r="C205" s="1">
        <v>2112579</v>
      </c>
      <c r="D205" s="1"/>
      <c r="H205" s="39" t="s">
        <v>362</v>
      </c>
      <c r="I205" s="1" t="s">
        <v>822</v>
      </c>
    </row>
    <row r="206" spans="3:9" x14ac:dyDescent="0.25">
      <c r="C206" s="1">
        <v>2093250</v>
      </c>
      <c r="D206" s="1"/>
      <c r="H206" s="39" t="s">
        <v>363</v>
      </c>
      <c r="I206" s="1" t="s">
        <v>823</v>
      </c>
    </row>
    <row r="207" spans="3:9" x14ac:dyDescent="0.25">
      <c r="C207" s="1">
        <v>2088628</v>
      </c>
      <c r="D207" s="1"/>
      <c r="H207" s="39" t="s">
        <v>364</v>
      </c>
      <c r="I207" s="1" t="s">
        <v>824</v>
      </c>
    </row>
    <row r="208" spans="3:9" x14ac:dyDescent="0.25">
      <c r="C208" s="1">
        <v>2112666</v>
      </c>
      <c r="D208" s="1"/>
      <c r="H208" s="39" t="s">
        <v>365</v>
      </c>
      <c r="I208" s="1" t="s">
        <v>825</v>
      </c>
    </row>
    <row r="209" spans="3:9" x14ac:dyDescent="0.25">
      <c r="C209" s="1">
        <v>2084608</v>
      </c>
      <c r="D209" s="1"/>
      <c r="H209" s="39" t="s">
        <v>366</v>
      </c>
      <c r="I209" s="1" t="s">
        <v>826</v>
      </c>
    </row>
    <row r="210" spans="3:9" x14ac:dyDescent="0.25">
      <c r="C210" s="1">
        <v>2090400</v>
      </c>
      <c r="D210" s="1"/>
      <c r="H210" s="39" t="s">
        <v>367</v>
      </c>
      <c r="I210" s="1" t="s">
        <v>827</v>
      </c>
    </row>
    <row r="211" spans="3:9" x14ac:dyDescent="0.25">
      <c r="C211" s="1">
        <v>2150838</v>
      </c>
      <c r="D211" s="1"/>
      <c r="H211" s="39" t="s">
        <v>368</v>
      </c>
      <c r="I211" s="1" t="s">
        <v>828</v>
      </c>
    </row>
    <row r="212" spans="3:9" x14ac:dyDescent="0.25">
      <c r="C212" s="1">
        <v>2165507</v>
      </c>
      <c r="D212" s="1"/>
      <c r="H212" s="39" t="s">
        <v>369</v>
      </c>
      <c r="I212" s="1" t="s">
        <v>829</v>
      </c>
    </row>
    <row r="213" spans="3:9" x14ac:dyDescent="0.25">
      <c r="C213" s="1">
        <v>2178293</v>
      </c>
      <c r="D213" s="1"/>
      <c r="H213" s="39" t="s">
        <v>370</v>
      </c>
      <c r="I213" s="1" t="s">
        <v>830</v>
      </c>
    </row>
    <row r="214" spans="3:9" x14ac:dyDescent="0.25">
      <c r="C214" s="1">
        <v>2173885</v>
      </c>
      <c r="D214" s="1"/>
      <c r="H214" s="39" t="s">
        <v>371</v>
      </c>
      <c r="I214" s="1" t="s">
        <v>831</v>
      </c>
    </row>
    <row r="215" spans="3:9" x14ac:dyDescent="0.25">
      <c r="C215" s="1">
        <v>2172738</v>
      </c>
      <c r="D215" s="1"/>
      <c r="H215" s="39" t="s">
        <v>372</v>
      </c>
      <c r="I215" s="1" t="s">
        <v>832</v>
      </c>
    </row>
    <row r="216" spans="3:9" x14ac:dyDescent="0.25">
      <c r="C216" s="1">
        <v>2170298</v>
      </c>
      <c r="D216" s="1"/>
      <c r="H216" s="39" t="s">
        <v>373</v>
      </c>
      <c r="I216" s="1" t="s">
        <v>833</v>
      </c>
    </row>
    <row r="217" spans="3:9" x14ac:dyDescent="0.25">
      <c r="C217" s="1">
        <v>2167543</v>
      </c>
      <c r="D217" s="1"/>
      <c r="H217" s="39" t="s">
        <v>374</v>
      </c>
      <c r="I217" s="1" t="s">
        <v>834</v>
      </c>
    </row>
    <row r="218" spans="3:9" x14ac:dyDescent="0.25">
      <c r="C218" s="1">
        <v>2170943</v>
      </c>
      <c r="D218" s="1"/>
      <c r="H218" s="39" t="s">
        <v>375</v>
      </c>
      <c r="I218" s="1" t="s">
        <v>835</v>
      </c>
    </row>
    <row r="219" spans="3:9" x14ac:dyDescent="0.25">
      <c r="C219" s="1">
        <v>2173637</v>
      </c>
      <c r="D219" s="1"/>
      <c r="H219" s="39" t="s">
        <v>376</v>
      </c>
      <c r="I219" s="1" t="s">
        <v>836</v>
      </c>
    </row>
    <row r="220" spans="3:9" x14ac:dyDescent="0.25">
      <c r="C220" s="1">
        <v>2172790</v>
      </c>
      <c r="D220" s="1"/>
      <c r="H220" s="39" t="s">
        <v>377</v>
      </c>
      <c r="I220" s="1" t="s">
        <v>837</v>
      </c>
    </row>
    <row r="221" spans="3:9" x14ac:dyDescent="0.25">
      <c r="C221" s="1">
        <v>2171342</v>
      </c>
      <c r="D221" s="1"/>
      <c r="H221" s="39" t="s">
        <v>378</v>
      </c>
      <c r="I221" s="1" t="s">
        <v>838</v>
      </c>
    </row>
    <row r="222" spans="3:9" x14ac:dyDescent="0.25">
      <c r="C222" s="1">
        <v>2171464</v>
      </c>
      <c r="D222" s="1"/>
      <c r="H222" s="39" t="s">
        <v>379</v>
      </c>
      <c r="I222" s="1" t="s">
        <v>839</v>
      </c>
    </row>
    <row r="223" spans="3:9" x14ac:dyDescent="0.25">
      <c r="C223" s="1">
        <v>2167422</v>
      </c>
      <c r="D223" s="1"/>
      <c r="H223" s="39" t="s">
        <v>380</v>
      </c>
      <c r="I223" s="1" t="s">
        <v>840</v>
      </c>
    </row>
    <row r="224" spans="3:9" x14ac:dyDescent="0.25">
      <c r="C224" s="1">
        <v>2225615</v>
      </c>
      <c r="D224" s="1"/>
      <c r="H224" s="39" t="s">
        <v>381</v>
      </c>
      <c r="I224" s="1" t="s">
        <v>841</v>
      </c>
    </row>
    <row r="225" spans="3:9" x14ac:dyDescent="0.25">
      <c r="C225" s="1">
        <v>2256855</v>
      </c>
      <c r="D225" s="1"/>
      <c r="H225" s="39" t="s">
        <v>382</v>
      </c>
      <c r="I225" s="1" t="s">
        <v>842</v>
      </c>
    </row>
    <row r="226" spans="3:9" x14ac:dyDescent="0.25">
      <c r="C226" s="1">
        <v>2266276</v>
      </c>
      <c r="D226" s="1"/>
      <c r="H226" s="39" t="s">
        <v>383</v>
      </c>
      <c r="I226" s="1" t="s">
        <v>843</v>
      </c>
    </row>
    <row r="227" spans="3:9" x14ac:dyDescent="0.25">
      <c r="C227" s="1">
        <v>2171620</v>
      </c>
      <c r="D227" s="1"/>
      <c r="H227" s="39" t="s">
        <v>384</v>
      </c>
      <c r="I227" s="1" t="s">
        <v>844</v>
      </c>
    </row>
    <row r="228" spans="3:9" x14ac:dyDescent="0.25">
      <c r="C228" s="1">
        <v>2142906</v>
      </c>
      <c r="D228" s="1"/>
      <c r="H228" s="39" t="s">
        <v>385</v>
      </c>
      <c r="I228" s="1" t="s">
        <v>845</v>
      </c>
    </row>
    <row r="229" spans="3:9" x14ac:dyDescent="0.25">
      <c r="C229" s="1">
        <v>2232068</v>
      </c>
      <c r="D229" s="1"/>
      <c r="H229" s="39" t="s">
        <v>386</v>
      </c>
      <c r="I229" s="1" t="s">
        <v>846</v>
      </c>
    </row>
    <row r="230" spans="3:9" x14ac:dyDescent="0.25">
      <c r="C230" s="1">
        <v>2277254</v>
      </c>
      <c r="D230" s="1"/>
      <c r="H230" s="39" t="s">
        <v>387</v>
      </c>
      <c r="I230" s="1" t="s">
        <v>847</v>
      </c>
    </row>
    <row r="231" spans="3:9" x14ac:dyDescent="0.25">
      <c r="C231" s="1">
        <v>2175129</v>
      </c>
      <c r="D231" s="1"/>
      <c r="H231" s="39" t="s">
        <v>388</v>
      </c>
      <c r="I231" s="1" t="s">
        <v>848</v>
      </c>
    </row>
    <row r="232" spans="3:9" x14ac:dyDescent="0.25">
      <c r="C232" s="1">
        <v>2178529</v>
      </c>
      <c r="D232" s="1"/>
      <c r="H232" s="39" t="s">
        <v>389</v>
      </c>
      <c r="I232" s="1" t="s">
        <v>849</v>
      </c>
    </row>
    <row r="233" spans="3:9" x14ac:dyDescent="0.25">
      <c r="C233" s="1">
        <v>2227335</v>
      </c>
      <c r="D233" s="1"/>
      <c r="H233" s="39" t="s">
        <v>390</v>
      </c>
      <c r="I233" s="1" t="s">
        <v>850</v>
      </c>
    </row>
    <row r="234" spans="3:9" x14ac:dyDescent="0.25">
      <c r="C234" s="1">
        <v>2253518</v>
      </c>
      <c r="D234" s="1"/>
      <c r="H234" s="39" t="s">
        <v>391</v>
      </c>
      <c r="I234" s="1" t="s">
        <v>851</v>
      </c>
    </row>
    <row r="235" spans="3:9" x14ac:dyDescent="0.25">
      <c r="C235" s="1">
        <v>2253329</v>
      </c>
      <c r="D235" s="1"/>
      <c r="H235" s="39" t="s">
        <v>392</v>
      </c>
      <c r="I235" s="1" t="s">
        <v>852</v>
      </c>
    </row>
    <row r="236" spans="3:9" x14ac:dyDescent="0.25">
      <c r="C236" s="1">
        <v>2246293</v>
      </c>
      <c r="D236" s="1"/>
      <c r="H236" s="39" t="s">
        <v>393</v>
      </c>
      <c r="I236" s="1" t="s">
        <v>853</v>
      </c>
    </row>
    <row r="237" spans="3:9" x14ac:dyDescent="0.25">
      <c r="C237" s="1">
        <v>2262653</v>
      </c>
      <c r="D237" s="1"/>
      <c r="H237" s="39" t="s">
        <v>394</v>
      </c>
      <c r="I237" s="1" t="s">
        <v>854</v>
      </c>
    </row>
    <row r="238" spans="3:9" x14ac:dyDescent="0.25">
      <c r="C238" s="1">
        <v>2263498</v>
      </c>
      <c r="D238" s="1"/>
      <c r="H238" s="39" t="s">
        <v>395</v>
      </c>
      <c r="I238" s="1" t="s">
        <v>855</v>
      </c>
    </row>
    <row r="239" spans="3:9" x14ac:dyDescent="0.25">
      <c r="C239" s="1">
        <v>2256850</v>
      </c>
      <c r="D239" s="1"/>
      <c r="H239" s="39" t="s">
        <v>396</v>
      </c>
      <c r="I239" s="1" t="s">
        <v>856</v>
      </c>
    </row>
    <row r="240" spans="3:9" x14ac:dyDescent="0.25">
      <c r="C240" s="1">
        <v>2254321</v>
      </c>
      <c r="D240" s="1"/>
      <c r="H240" s="39" t="s">
        <v>397</v>
      </c>
      <c r="I240" s="1" t="s">
        <v>857</v>
      </c>
    </row>
    <row r="241" spans="3:9" x14ac:dyDescent="0.25">
      <c r="C241" s="1">
        <v>2253261</v>
      </c>
      <c r="D241" s="1"/>
      <c r="H241" s="39" t="s">
        <v>398</v>
      </c>
      <c r="I241" s="1" t="s">
        <v>858</v>
      </c>
    </row>
    <row r="242" spans="3:9" x14ac:dyDescent="0.25">
      <c r="C242" s="1">
        <v>2254384</v>
      </c>
      <c r="D242" s="1"/>
      <c r="H242" s="39" t="s">
        <v>399</v>
      </c>
      <c r="I242" s="1" t="s">
        <v>859</v>
      </c>
    </row>
    <row r="243" spans="3:9" x14ac:dyDescent="0.25">
      <c r="C243" s="1">
        <v>2266275</v>
      </c>
      <c r="D243" s="1"/>
      <c r="H243" s="39" t="s">
        <v>400</v>
      </c>
      <c r="I243" s="1" t="s">
        <v>860</v>
      </c>
    </row>
    <row r="244" spans="3:9" x14ac:dyDescent="0.25">
      <c r="C244" s="1">
        <v>2283661</v>
      </c>
      <c r="D244" s="1"/>
      <c r="H244" s="39" t="s">
        <v>401</v>
      </c>
      <c r="I244" s="1" t="s">
        <v>861</v>
      </c>
    </row>
    <row r="245" spans="3:9" x14ac:dyDescent="0.25">
      <c r="C245" s="1">
        <v>2342404</v>
      </c>
      <c r="D245" s="1"/>
      <c r="H245" s="39" t="s">
        <v>402</v>
      </c>
      <c r="I245" s="1" t="s">
        <v>862</v>
      </c>
    </row>
    <row r="246" spans="3:9" x14ac:dyDescent="0.25">
      <c r="C246" s="1">
        <v>2350587</v>
      </c>
      <c r="D246" s="1"/>
      <c r="H246" s="39" t="s">
        <v>403</v>
      </c>
      <c r="I246" s="1" t="s">
        <v>863</v>
      </c>
    </row>
    <row r="247" spans="3:9" x14ac:dyDescent="0.25">
      <c r="C247" s="1">
        <v>2364112</v>
      </c>
      <c r="D247" s="1"/>
      <c r="H247" s="39" t="s">
        <v>404</v>
      </c>
      <c r="I247" s="1" t="s">
        <v>864</v>
      </c>
    </row>
    <row r="248" spans="3:9" x14ac:dyDescent="0.25">
      <c r="C248" s="1">
        <v>2367650</v>
      </c>
      <c r="D248" s="1"/>
      <c r="H248" s="39" t="s">
        <v>405</v>
      </c>
      <c r="I248" s="1" t="s">
        <v>865</v>
      </c>
    </row>
    <row r="249" spans="3:9" x14ac:dyDescent="0.25">
      <c r="C249" s="1">
        <v>2244602</v>
      </c>
      <c r="D249" s="1"/>
      <c r="H249" s="39" t="s">
        <v>406</v>
      </c>
      <c r="I249" s="1" t="s">
        <v>866</v>
      </c>
    </row>
    <row r="250" spans="3:9" x14ac:dyDescent="0.25">
      <c r="C250" s="1">
        <v>2232067</v>
      </c>
      <c r="D250" s="1"/>
      <c r="H250" s="39" t="s">
        <v>407</v>
      </c>
      <c r="I250" s="1" t="s">
        <v>867</v>
      </c>
    </row>
    <row r="251" spans="3:9" x14ac:dyDescent="0.25">
      <c r="C251" s="1">
        <v>2277253</v>
      </c>
      <c r="D251" s="1"/>
      <c r="H251" s="39" t="s">
        <v>408</v>
      </c>
      <c r="I251" s="1" t="s">
        <v>868</v>
      </c>
    </row>
    <row r="252" spans="3:9" x14ac:dyDescent="0.25">
      <c r="C252" s="1">
        <v>2301387</v>
      </c>
      <c r="D252" s="1"/>
      <c r="H252" s="39" t="s">
        <v>409</v>
      </c>
      <c r="I252" s="1" t="s">
        <v>869</v>
      </c>
    </row>
    <row r="253" spans="3:9" x14ac:dyDescent="0.25">
      <c r="C253" s="1">
        <v>2252033</v>
      </c>
      <c r="D253" s="1"/>
      <c r="H253" s="39" t="s">
        <v>410</v>
      </c>
      <c r="I253" s="1" t="s">
        <v>870</v>
      </c>
    </row>
    <row r="254" spans="3:9" x14ac:dyDescent="0.25">
      <c r="C254" s="1">
        <v>2320696</v>
      </c>
      <c r="D254" s="1"/>
      <c r="H254" s="39" t="s">
        <v>411</v>
      </c>
      <c r="I254" s="1" t="s">
        <v>871</v>
      </c>
    </row>
    <row r="255" spans="3:9" x14ac:dyDescent="0.25">
      <c r="C255" s="1">
        <v>2320020</v>
      </c>
      <c r="D255" s="1"/>
      <c r="H255" s="39" t="s">
        <v>412</v>
      </c>
      <c r="I255" s="1" t="s">
        <v>872</v>
      </c>
    </row>
    <row r="256" spans="3:9" x14ac:dyDescent="0.25">
      <c r="C256" s="1">
        <v>2320860</v>
      </c>
      <c r="D256" s="1"/>
      <c r="H256" s="39" t="s">
        <v>413</v>
      </c>
      <c r="I256" s="1" t="s">
        <v>873</v>
      </c>
    </row>
    <row r="257" spans="3:9" x14ac:dyDescent="0.25">
      <c r="C257" s="1">
        <v>2342406</v>
      </c>
      <c r="D257" s="1"/>
      <c r="H257" s="39" t="s">
        <v>414</v>
      </c>
      <c r="I257" s="1" t="s">
        <v>874</v>
      </c>
    </row>
    <row r="258" spans="3:9" x14ac:dyDescent="0.25">
      <c r="C258" s="1">
        <v>2342928</v>
      </c>
      <c r="D258" s="1"/>
      <c r="H258" s="39" t="s">
        <v>415</v>
      </c>
      <c r="I258" s="1" t="s">
        <v>875</v>
      </c>
    </row>
    <row r="259" spans="3:9" x14ac:dyDescent="0.25">
      <c r="C259" s="1">
        <v>2338463</v>
      </c>
      <c r="D259" s="1"/>
      <c r="H259" s="39" t="s">
        <v>416</v>
      </c>
      <c r="I259" s="1" t="s">
        <v>876</v>
      </c>
    </row>
    <row r="260" spans="3:9" x14ac:dyDescent="0.25">
      <c r="C260" s="1">
        <v>2350690</v>
      </c>
      <c r="D260" s="1"/>
      <c r="H260" s="39" t="s">
        <v>417</v>
      </c>
      <c r="I260" s="1" t="s">
        <v>877</v>
      </c>
    </row>
    <row r="261" spans="3:9" x14ac:dyDescent="0.25">
      <c r="C261" s="1">
        <v>2350586</v>
      </c>
      <c r="D261" s="1"/>
      <c r="H261" s="39" t="s">
        <v>418</v>
      </c>
      <c r="I261" s="1" t="s">
        <v>878</v>
      </c>
    </row>
    <row r="262" spans="3:9" x14ac:dyDescent="0.25">
      <c r="C262" s="1">
        <v>2350993</v>
      </c>
      <c r="D262" s="1"/>
      <c r="H262" s="39" t="s">
        <v>419</v>
      </c>
      <c r="I262" s="1" t="s">
        <v>879</v>
      </c>
    </row>
    <row r="263" spans="3:9" x14ac:dyDescent="0.25">
      <c r="C263" s="1">
        <v>2343055</v>
      </c>
      <c r="D263" s="1"/>
      <c r="H263" s="39" t="s">
        <v>420</v>
      </c>
      <c r="I263" s="1" t="s">
        <v>880</v>
      </c>
    </row>
    <row r="264" spans="3:9" x14ac:dyDescent="0.25">
      <c r="C264" s="1">
        <v>2338659</v>
      </c>
      <c r="D264" s="1"/>
      <c r="H264" s="39" t="s">
        <v>421</v>
      </c>
      <c r="I264" s="1" t="s">
        <v>881</v>
      </c>
    </row>
    <row r="265" spans="3:9" x14ac:dyDescent="0.25">
      <c r="C265" s="1">
        <v>2338798</v>
      </c>
      <c r="D265" s="1"/>
      <c r="H265" s="39" t="s">
        <v>422</v>
      </c>
      <c r="I265" s="1" t="s">
        <v>882</v>
      </c>
    </row>
    <row r="266" spans="3:9" x14ac:dyDescent="0.25">
      <c r="C266" s="1">
        <v>2340971</v>
      </c>
      <c r="D266" s="1"/>
      <c r="H266" s="39" t="s">
        <v>423</v>
      </c>
      <c r="I266" s="1" t="s">
        <v>883</v>
      </c>
    </row>
    <row r="267" spans="3:9" x14ac:dyDescent="0.25">
      <c r="C267" s="1">
        <v>2355936</v>
      </c>
      <c r="D267" s="1"/>
      <c r="H267" s="39" t="s">
        <v>424</v>
      </c>
      <c r="I267" s="1" t="s">
        <v>884</v>
      </c>
    </row>
    <row r="268" spans="3:9" x14ac:dyDescent="0.25">
      <c r="C268" s="1">
        <v>2364113</v>
      </c>
      <c r="D268" s="1"/>
      <c r="H268" s="39" t="s">
        <v>425</v>
      </c>
      <c r="I268" s="1" t="s">
        <v>885</v>
      </c>
    </row>
    <row r="269" spans="3:9" x14ac:dyDescent="0.25">
      <c r="C269" s="1">
        <v>2367651</v>
      </c>
      <c r="D269" s="1"/>
      <c r="H269" s="39" t="s">
        <v>426</v>
      </c>
      <c r="I269" s="1" t="s">
        <v>886</v>
      </c>
    </row>
    <row r="270" spans="3:9" x14ac:dyDescent="0.25">
      <c r="C270" s="1">
        <v>2405574</v>
      </c>
      <c r="D270" s="1"/>
      <c r="H270" s="39" t="s">
        <v>427</v>
      </c>
      <c r="I270" s="1" t="s">
        <v>887</v>
      </c>
    </row>
    <row r="271" spans="3:9" x14ac:dyDescent="0.25">
      <c r="C271" s="1">
        <v>2438153</v>
      </c>
      <c r="D271" s="1"/>
      <c r="H271" s="39" t="s">
        <v>428</v>
      </c>
      <c r="I271" s="1" t="s">
        <v>888</v>
      </c>
    </row>
    <row r="272" spans="3:9" x14ac:dyDescent="0.25">
      <c r="C272" s="1">
        <v>2313193</v>
      </c>
      <c r="D272" s="1"/>
      <c r="H272" s="39" t="s">
        <v>429</v>
      </c>
      <c r="I272" s="1" t="s">
        <v>889</v>
      </c>
    </row>
    <row r="273" spans="3:9" x14ac:dyDescent="0.25">
      <c r="C273" s="1">
        <v>2382076</v>
      </c>
      <c r="D273" s="1"/>
      <c r="H273" s="39" t="s">
        <v>430</v>
      </c>
      <c r="I273" s="1" t="s">
        <v>890</v>
      </c>
    </row>
    <row r="274" spans="3:9" x14ac:dyDescent="0.25">
      <c r="C274" s="1">
        <v>2361743</v>
      </c>
      <c r="D274" s="1"/>
      <c r="H274" s="39" t="s">
        <v>431</v>
      </c>
      <c r="I274" s="1" t="s">
        <v>891</v>
      </c>
    </row>
    <row r="275" spans="3:9" x14ac:dyDescent="0.25">
      <c r="C275" s="1">
        <v>2301386</v>
      </c>
      <c r="D275" s="1"/>
      <c r="H275" s="39" t="s">
        <v>432</v>
      </c>
      <c r="I275" s="1" t="s">
        <v>892</v>
      </c>
    </row>
    <row r="276" spans="3:9" x14ac:dyDescent="0.25">
      <c r="C276" s="1">
        <v>2325438</v>
      </c>
      <c r="D276" s="1"/>
      <c r="H276" s="39" t="s">
        <v>433</v>
      </c>
      <c r="I276" s="1" t="s">
        <v>893</v>
      </c>
    </row>
    <row r="277" spans="3:9" x14ac:dyDescent="0.25">
      <c r="C277" s="1">
        <v>2336659</v>
      </c>
      <c r="D277" s="1"/>
      <c r="H277" s="39" t="s">
        <v>434</v>
      </c>
      <c r="I277" s="1" t="s">
        <v>894</v>
      </c>
    </row>
    <row r="278" spans="3:9" x14ac:dyDescent="0.25">
      <c r="C278" s="1">
        <v>2400101</v>
      </c>
      <c r="D278" s="1"/>
      <c r="H278" s="39" t="s">
        <v>435</v>
      </c>
      <c r="I278" s="1" t="s">
        <v>895</v>
      </c>
    </row>
    <row r="279" spans="3:9" x14ac:dyDescent="0.25">
      <c r="C279" s="1">
        <v>2374774</v>
      </c>
      <c r="D279" s="1"/>
      <c r="H279" s="39" t="s">
        <v>436</v>
      </c>
      <c r="I279" s="1" t="s">
        <v>896</v>
      </c>
    </row>
    <row r="280" spans="3:9" x14ac:dyDescent="0.25">
      <c r="C280" s="1">
        <v>2421381</v>
      </c>
      <c r="D280" s="1"/>
      <c r="H280" s="39" t="s">
        <v>437</v>
      </c>
      <c r="I280" s="1" t="s">
        <v>897</v>
      </c>
    </row>
    <row r="281" spans="3:9" x14ac:dyDescent="0.25">
      <c r="C281" s="1">
        <v>2399279</v>
      </c>
      <c r="D281" s="1"/>
      <c r="H281" s="39" t="s">
        <v>438</v>
      </c>
      <c r="I281" s="1" t="s">
        <v>898</v>
      </c>
    </row>
    <row r="282" spans="3:9" x14ac:dyDescent="0.25">
      <c r="C282" s="1">
        <v>2406206</v>
      </c>
      <c r="D282" s="1"/>
      <c r="H282" s="39" t="s">
        <v>439</v>
      </c>
      <c r="I282" s="1" t="s">
        <v>899</v>
      </c>
    </row>
    <row r="283" spans="3:9" x14ac:dyDescent="0.25">
      <c r="C283" s="1">
        <v>2407518</v>
      </c>
      <c r="D283" s="1"/>
      <c r="H283" s="39" t="s">
        <v>440</v>
      </c>
      <c r="I283" s="1" t="s">
        <v>900</v>
      </c>
    </row>
    <row r="284" spans="3:9" x14ac:dyDescent="0.25">
      <c r="C284" s="1">
        <v>2414778</v>
      </c>
      <c r="D284" s="1"/>
      <c r="H284" s="39" t="s">
        <v>441</v>
      </c>
      <c r="I284" s="1" t="s">
        <v>901</v>
      </c>
    </row>
    <row r="285" spans="3:9" x14ac:dyDescent="0.25">
      <c r="C285" s="1">
        <v>2416073</v>
      </c>
      <c r="D285" s="1"/>
      <c r="H285" s="39" t="s">
        <v>442</v>
      </c>
      <c r="I285" s="1" t="s">
        <v>902</v>
      </c>
    </row>
    <row r="286" spans="3:9" x14ac:dyDescent="0.25">
      <c r="C286" s="1">
        <v>2402381</v>
      </c>
      <c r="D286" s="1"/>
      <c r="H286" s="39" t="s">
        <v>443</v>
      </c>
      <c r="I286" s="1" t="s">
        <v>903</v>
      </c>
    </row>
    <row r="287" spans="3:9" x14ac:dyDescent="0.25">
      <c r="C287" s="1">
        <v>2421033</v>
      </c>
      <c r="D287" s="1"/>
      <c r="H287" s="39" t="s">
        <v>444</v>
      </c>
      <c r="I287" s="1" t="s">
        <v>904</v>
      </c>
    </row>
    <row r="288" spans="3:9" x14ac:dyDescent="0.25">
      <c r="C288" s="1">
        <v>2407969</v>
      </c>
      <c r="D288" s="1"/>
      <c r="H288" s="39" t="s">
        <v>445</v>
      </c>
      <c r="I288" s="1" t="s">
        <v>905</v>
      </c>
    </row>
    <row r="289" spans="3:9" x14ac:dyDescent="0.25">
      <c r="C289" s="1">
        <v>2412798</v>
      </c>
      <c r="D289" s="1"/>
      <c r="H289" s="39" t="s">
        <v>446</v>
      </c>
      <c r="I289" s="1" t="s">
        <v>906</v>
      </c>
    </row>
    <row r="290" spans="3:9" x14ac:dyDescent="0.25">
      <c r="C290" s="1">
        <v>2408640</v>
      </c>
      <c r="D290" s="1"/>
      <c r="H290" s="39" t="s">
        <v>447</v>
      </c>
      <c r="I290" s="1" t="s">
        <v>907</v>
      </c>
    </row>
    <row r="291" spans="3:9" x14ac:dyDescent="0.25">
      <c r="C291" s="1">
        <v>2405558</v>
      </c>
      <c r="D291" s="1"/>
      <c r="H291" s="39" t="s">
        <v>448</v>
      </c>
      <c r="I291" s="1" t="s">
        <v>908</v>
      </c>
    </row>
    <row r="292" spans="3:9" x14ac:dyDescent="0.25">
      <c r="C292" s="1">
        <v>2402021</v>
      </c>
      <c r="D292" s="1"/>
      <c r="H292" s="39" t="s">
        <v>449</v>
      </c>
      <c r="I292" s="1" t="s">
        <v>909</v>
      </c>
    </row>
    <row r="293" spans="3:9" x14ac:dyDescent="0.25">
      <c r="C293" s="1">
        <v>2438152</v>
      </c>
      <c r="D293" s="1"/>
      <c r="H293" s="39" t="s">
        <v>450</v>
      </c>
      <c r="I293" s="1" t="s">
        <v>910</v>
      </c>
    </row>
    <row r="294" spans="3:9" x14ac:dyDescent="0.25">
      <c r="C294" s="1">
        <v>2449997</v>
      </c>
      <c r="D294" s="1"/>
      <c r="H294" s="39" t="s">
        <v>451</v>
      </c>
      <c r="I294" s="1" t="s">
        <v>911</v>
      </c>
    </row>
    <row r="295" spans="3:9" x14ac:dyDescent="0.25">
      <c r="C295" s="1">
        <v>2478063</v>
      </c>
      <c r="D295" s="1"/>
      <c r="H295" s="39" t="s">
        <v>452</v>
      </c>
      <c r="I295" s="1" t="s">
        <v>912</v>
      </c>
    </row>
    <row r="296" spans="3:9" x14ac:dyDescent="0.25">
      <c r="C296" s="1">
        <v>2500211</v>
      </c>
      <c r="D296" s="1"/>
      <c r="H296" s="39" t="s">
        <v>453</v>
      </c>
      <c r="I296" s="1" t="s">
        <v>913</v>
      </c>
    </row>
    <row r="297" spans="3:9" x14ac:dyDescent="0.25">
      <c r="C297" s="1">
        <v>2412226</v>
      </c>
      <c r="D297" s="1"/>
      <c r="H297" s="39" t="s">
        <v>454</v>
      </c>
      <c r="I297" s="1" t="s">
        <v>914</v>
      </c>
    </row>
    <row r="298" spans="3:9" x14ac:dyDescent="0.25">
      <c r="C298" s="1">
        <v>2382075</v>
      </c>
      <c r="D298" s="1"/>
      <c r="H298" s="39" t="s">
        <v>455</v>
      </c>
      <c r="I298" s="1" t="s">
        <v>915</v>
      </c>
    </row>
    <row r="299" spans="3:9" x14ac:dyDescent="0.25">
      <c r="C299" s="1">
        <v>2488200</v>
      </c>
      <c r="D299" s="1"/>
      <c r="H299" s="39" t="s">
        <v>456</v>
      </c>
      <c r="I299" s="1" t="s">
        <v>916</v>
      </c>
    </row>
    <row r="300" spans="3:9" x14ac:dyDescent="0.25">
      <c r="C300" s="1">
        <v>2407869</v>
      </c>
      <c r="D300" s="1"/>
      <c r="H300" s="39" t="s">
        <v>457</v>
      </c>
      <c r="I300" s="1" t="s">
        <v>917</v>
      </c>
    </row>
    <row r="301" spans="3:9" x14ac:dyDescent="0.25">
      <c r="C301" s="1">
        <v>2449969</v>
      </c>
      <c r="D301" s="1"/>
      <c r="H301" s="39" t="s">
        <v>458</v>
      </c>
      <c r="I301" s="1" t="s">
        <v>918</v>
      </c>
    </row>
    <row r="302" spans="3:9" x14ac:dyDescent="0.25">
      <c r="C302" s="1">
        <v>2400100</v>
      </c>
      <c r="D302" s="1"/>
      <c r="H302" s="39" t="s">
        <v>459</v>
      </c>
      <c r="I302" s="1" t="s">
        <v>919</v>
      </c>
    </row>
    <row r="303" spans="3:9" x14ac:dyDescent="0.25">
      <c r="C303" s="1">
        <v>2449971</v>
      </c>
      <c r="D303" s="1"/>
      <c r="H303" s="39" t="s">
        <v>460</v>
      </c>
      <c r="I303" s="1" t="s">
        <v>920</v>
      </c>
    </row>
    <row r="304" spans="3:9" x14ac:dyDescent="0.25">
      <c r="C304" s="1">
        <v>2449998</v>
      </c>
      <c r="D304" s="1"/>
      <c r="H304" s="39" t="s">
        <v>461</v>
      </c>
      <c r="I304" s="1" t="s">
        <v>921</v>
      </c>
    </row>
    <row r="305" spans="3:9" x14ac:dyDescent="0.25">
      <c r="C305" s="1">
        <v>2448222</v>
      </c>
      <c r="D305" s="1"/>
      <c r="H305" s="39" t="s">
        <v>462</v>
      </c>
      <c r="I305" s="1" t="s">
        <v>922</v>
      </c>
    </row>
    <row r="306" spans="3:9" x14ac:dyDescent="0.25">
      <c r="C306" s="1">
        <v>2452985</v>
      </c>
      <c r="D306" s="1"/>
      <c r="H306" s="39" t="s">
        <v>463</v>
      </c>
      <c r="I306" s="1" t="s">
        <v>923</v>
      </c>
    </row>
    <row r="307" spans="3:9" x14ac:dyDescent="0.25">
      <c r="C307" s="1">
        <v>2455832</v>
      </c>
      <c r="D307" s="1"/>
      <c r="H307" s="39" t="s">
        <v>464</v>
      </c>
      <c r="I307" s="1" t="s">
        <v>924</v>
      </c>
    </row>
    <row r="308" spans="3:9" x14ac:dyDescent="0.25">
      <c r="C308" s="1">
        <v>2460329</v>
      </c>
      <c r="D308" s="1"/>
      <c r="H308" s="39" t="s">
        <v>465</v>
      </c>
      <c r="I308" s="1" t="s">
        <v>925</v>
      </c>
    </row>
    <row r="309" spans="3:9" x14ac:dyDescent="0.25">
      <c r="C309" s="1">
        <v>2464331</v>
      </c>
      <c r="D309" s="1"/>
      <c r="H309" s="39" t="s">
        <v>466</v>
      </c>
      <c r="I309" s="1" t="s">
        <v>926</v>
      </c>
    </row>
    <row r="310" spans="3:9" x14ac:dyDescent="0.25">
      <c r="C310" s="1">
        <v>2465180</v>
      </c>
      <c r="D310" s="1"/>
      <c r="H310" s="39" t="s">
        <v>467</v>
      </c>
      <c r="I310" s="1" t="s">
        <v>927</v>
      </c>
    </row>
    <row r="311" spans="3:9" x14ac:dyDescent="0.25">
      <c r="C311" s="1">
        <v>2467902</v>
      </c>
      <c r="D311" s="1"/>
      <c r="H311" s="39" t="s">
        <v>468</v>
      </c>
      <c r="I311" s="1" t="s">
        <v>928</v>
      </c>
    </row>
    <row r="312" spans="3:9" x14ac:dyDescent="0.25">
      <c r="C312" s="1">
        <v>2478061</v>
      </c>
      <c r="D312" s="1"/>
      <c r="H312" s="39" t="s">
        <v>469</v>
      </c>
      <c r="I312" s="1" t="s">
        <v>929</v>
      </c>
    </row>
    <row r="313" spans="3:9" x14ac:dyDescent="0.25">
      <c r="C313" s="1">
        <v>2487001</v>
      </c>
      <c r="D313" s="1"/>
      <c r="H313" s="39" t="s">
        <v>470</v>
      </c>
      <c r="I313" s="1" t="s">
        <v>930</v>
      </c>
    </row>
    <row r="314" spans="3:9" x14ac:dyDescent="0.25">
      <c r="C314" s="1">
        <v>2491224</v>
      </c>
      <c r="D314" s="1"/>
      <c r="H314" s="39" t="s">
        <v>471</v>
      </c>
      <c r="I314" s="1" t="s">
        <v>931</v>
      </c>
    </row>
    <row r="315" spans="3:9" x14ac:dyDescent="0.25">
      <c r="C315" s="1">
        <v>2500210</v>
      </c>
      <c r="D315" s="1"/>
      <c r="H315" s="39" t="s">
        <v>472</v>
      </c>
      <c r="I315" s="1" t="s">
        <v>932</v>
      </c>
    </row>
    <row r="316" spans="3:9" x14ac:dyDescent="0.25">
      <c r="C316" s="1">
        <v>2484628</v>
      </c>
      <c r="D316" s="1"/>
      <c r="H316" s="39" t="s">
        <v>473</v>
      </c>
      <c r="I316" s="1" t="s">
        <v>933</v>
      </c>
    </row>
    <row r="317" spans="3:9" x14ac:dyDescent="0.25">
      <c r="C317" s="1">
        <v>2481299</v>
      </c>
      <c r="D317" s="1"/>
      <c r="H317" s="39" t="s">
        <v>474</v>
      </c>
      <c r="I317" s="1" t="s">
        <v>934</v>
      </c>
    </row>
    <row r="318" spans="3:9" x14ac:dyDescent="0.25">
      <c r="C318" s="1">
        <v>2480063</v>
      </c>
      <c r="D318" s="1"/>
      <c r="H318" s="39" t="s">
        <v>475</v>
      </c>
      <c r="I318" s="1" t="s">
        <v>935</v>
      </c>
    </row>
    <row r="319" spans="3:9" x14ac:dyDescent="0.25">
      <c r="C319" s="1">
        <v>2537334</v>
      </c>
      <c r="D319" s="1"/>
      <c r="H319" s="39" t="s">
        <v>476</v>
      </c>
      <c r="I319" s="1" t="s">
        <v>936</v>
      </c>
    </row>
    <row r="320" spans="3:9" x14ac:dyDescent="0.25">
      <c r="C320" s="1">
        <v>2548206</v>
      </c>
      <c r="D320" s="1"/>
      <c r="H320" s="39" t="s">
        <v>477</v>
      </c>
      <c r="I320" s="1" t="s">
        <v>937</v>
      </c>
    </row>
    <row r="321" spans="3:9" x14ac:dyDescent="0.25">
      <c r="C321" s="1">
        <v>2580090</v>
      </c>
      <c r="D321" s="1"/>
      <c r="H321" s="39" t="s">
        <v>478</v>
      </c>
      <c r="I321" s="1" t="s">
        <v>938</v>
      </c>
    </row>
    <row r="322" spans="3:9" x14ac:dyDescent="0.25">
      <c r="C322" s="1">
        <v>2484175</v>
      </c>
      <c r="D322" s="1"/>
      <c r="H322" s="39" t="s">
        <v>479</v>
      </c>
      <c r="I322" s="1" t="s">
        <v>939</v>
      </c>
    </row>
    <row r="323" spans="3:9" x14ac:dyDescent="0.25">
      <c r="C323" s="1">
        <v>2551947</v>
      </c>
      <c r="D323" s="1"/>
      <c r="H323" s="39" t="s">
        <v>480</v>
      </c>
      <c r="I323" s="1" t="s">
        <v>940</v>
      </c>
    </row>
    <row r="324" spans="3:9" x14ac:dyDescent="0.25">
      <c r="C324" s="1">
        <v>2488195</v>
      </c>
      <c r="D324" s="1"/>
      <c r="H324" s="39" t="s">
        <v>481</v>
      </c>
      <c r="I324" s="1" t="s">
        <v>941</v>
      </c>
    </row>
    <row r="325" spans="3:9" x14ac:dyDescent="0.25">
      <c r="C325" s="1">
        <v>2534627</v>
      </c>
      <c r="D325" s="1"/>
      <c r="H325" s="39" t="s">
        <v>482</v>
      </c>
      <c r="I325" s="1" t="s">
        <v>942</v>
      </c>
    </row>
    <row r="326" spans="3:9" x14ac:dyDescent="0.25">
      <c r="C326" s="1">
        <v>2464591</v>
      </c>
      <c r="D326" s="1"/>
      <c r="H326" s="39" t="s">
        <v>483</v>
      </c>
      <c r="I326" s="1" t="s">
        <v>943</v>
      </c>
    </row>
    <row r="327" spans="3:9" x14ac:dyDescent="0.25">
      <c r="C327" s="1">
        <v>2449968</v>
      </c>
      <c r="D327" s="1"/>
      <c r="H327" s="39" t="s">
        <v>484</v>
      </c>
      <c r="I327" s="1" t="s">
        <v>944</v>
      </c>
    </row>
    <row r="328" spans="3:9" x14ac:dyDescent="0.25">
      <c r="C328" s="1">
        <v>2530734</v>
      </c>
      <c r="D328" s="1"/>
      <c r="H328" s="39" t="s">
        <v>485</v>
      </c>
      <c r="I328" s="1" t="s">
        <v>945</v>
      </c>
    </row>
    <row r="329" spans="3:9" x14ac:dyDescent="0.25">
      <c r="C329" s="1">
        <v>2534110</v>
      </c>
      <c r="D329" s="1"/>
      <c r="H329" s="39" t="s">
        <v>486</v>
      </c>
      <c r="I329" s="1" t="s">
        <v>946</v>
      </c>
    </row>
    <row r="330" spans="3:9" x14ac:dyDescent="0.25">
      <c r="C330" s="1">
        <v>2533795</v>
      </c>
      <c r="D330" s="1"/>
      <c r="H330" s="39" t="s">
        <v>487</v>
      </c>
      <c r="I330" s="1" t="s">
        <v>947</v>
      </c>
    </row>
    <row r="331" spans="3:9" x14ac:dyDescent="0.25">
      <c r="C331" s="1">
        <v>2533772</v>
      </c>
      <c r="D331" s="1"/>
      <c r="H331" s="39" t="s">
        <v>488</v>
      </c>
      <c r="I331" s="1" t="s">
        <v>948</v>
      </c>
    </row>
    <row r="332" spans="3:9" x14ac:dyDescent="0.25">
      <c r="C332" s="1">
        <v>2537333</v>
      </c>
      <c r="D332" s="1"/>
      <c r="H332" s="39" t="s">
        <v>489</v>
      </c>
      <c r="I332" s="1" t="s">
        <v>949</v>
      </c>
    </row>
    <row r="333" spans="3:9" x14ac:dyDescent="0.25">
      <c r="C333" s="1">
        <v>2548235</v>
      </c>
      <c r="D333" s="1"/>
      <c r="H333" s="39" t="s">
        <v>490</v>
      </c>
      <c r="I333" s="1" t="s">
        <v>950</v>
      </c>
    </row>
    <row r="334" spans="3:9" x14ac:dyDescent="0.25">
      <c r="C334" s="1">
        <v>2548205</v>
      </c>
      <c r="D334" s="1"/>
      <c r="H334" s="39" t="s">
        <v>491</v>
      </c>
      <c r="I334" s="1" t="s">
        <v>951</v>
      </c>
    </row>
    <row r="335" spans="3:9" x14ac:dyDescent="0.25">
      <c r="C335" s="1">
        <v>2547917</v>
      </c>
      <c r="D335" s="1"/>
      <c r="H335" s="39" t="s">
        <v>492</v>
      </c>
      <c r="I335" s="1" t="s">
        <v>952</v>
      </c>
    </row>
    <row r="336" spans="3:9" x14ac:dyDescent="0.25">
      <c r="C336" s="1">
        <v>2556630</v>
      </c>
      <c r="D336" s="1"/>
      <c r="H336" s="39" t="s">
        <v>493</v>
      </c>
      <c r="I336" s="1" t="s">
        <v>953</v>
      </c>
    </row>
    <row r="337" spans="3:9" x14ac:dyDescent="0.25">
      <c r="C337" s="1">
        <v>2560376</v>
      </c>
      <c r="D337" s="1"/>
      <c r="H337" s="39" t="s">
        <v>494</v>
      </c>
      <c r="I337" s="1" t="s">
        <v>954</v>
      </c>
    </row>
    <row r="338" spans="3:9" x14ac:dyDescent="0.25">
      <c r="C338" s="1">
        <v>2562707</v>
      </c>
      <c r="D338" s="1"/>
      <c r="H338" s="39" t="s">
        <v>495</v>
      </c>
      <c r="I338" s="1" t="s">
        <v>955</v>
      </c>
    </row>
    <row r="339" spans="3:9" x14ac:dyDescent="0.25">
      <c r="C339" s="1">
        <v>2582144</v>
      </c>
      <c r="D339" s="1"/>
      <c r="H339" s="39" t="s">
        <v>496</v>
      </c>
      <c r="I339" s="1" t="s">
        <v>956</v>
      </c>
    </row>
    <row r="340" spans="3:9" x14ac:dyDescent="0.25">
      <c r="C340" s="1">
        <v>2574639</v>
      </c>
      <c r="D340" s="1"/>
      <c r="H340" s="39" t="s">
        <v>497</v>
      </c>
      <c r="I340" s="1" t="s">
        <v>957</v>
      </c>
    </row>
    <row r="341" spans="3:9" x14ac:dyDescent="0.25">
      <c r="C341" s="1">
        <v>2580812</v>
      </c>
      <c r="D341" s="1"/>
      <c r="H341" s="39" t="s">
        <v>498</v>
      </c>
      <c r="I341" s="1" t="s">
        <v>958</v>
      </c>
    </row>
    <row r="342" spans="3:9" x14ac:dyDescent="0.25">
      <c r="C342" s="1">
        <v>2577100</v>
      </c>
      <c r="D342" s="1"/>
      <c r="H342" s="39" t="s">
        <v>499</v>
      </c>
      <c r="I342" s="1" t="s">
        <v>959</v>
      </c>
    </row>
    <row r="343" spans="3:9" x14ac:dyDescent="0.25">
      <c r="C343" s="1">
        <v>2580080</v>
      </c>
      <c r="D343" s="1"/>
      <c r="H343" s="39" t="s">
        <v>500</v>
      </c>
      <c r="I343" s="1" t="s">
        <v>960</v>
      </c>
    </row>
    <row r="344" spans="3:9" x14ac:dyDescent="0.25">
      <c r="C344" s="1">
        <v>2634045</v>
      </c>
      <c r="D344" s="1"/>
      <c r="H344" s="39" t="s">
        <v>501</v>
      </c>
      <c r="I344" s="1" t="s">
        <v>961</v>
      </c>
    </row>
    <row r="345" spans="3:9" x14ac:dyDescent="0.25">
      <c r="C345" s="1">
        <v>2688261</v>
      </c>
      <c r="D345" s="1"/>
      <c r="H345" s="39" t="s">
        <v>502</v>
      </c>
      <c r="I345" s="1" t="s">
        <v>962</v>
      </c>
    </row>
    <row r="346" spans="3:9" x14ac:dyDescent="0.25">
      <c r="C346" s="1">
        <v>2536157</v>
      </c>
      <c r="D346" s="1"/>
      <c r="H346" s="39" t="s">
        <v>503</v>
      </c>
      <c r="I346" s="1" t="s">
        <v>963</v>
      </c>
    </row>
    <row r="347" spans="3:9" x14ac:dyDescent="0.25">
      <c r="C347" s="1">
        <v>2551946</v>
      </c>
      <c r="D347" s="1"/>
      <c r="H347" s="39" t="s">
        <v>504</v>
      </c>
      <c r="I347" s="1" t="s">
        <v>964</v>
      </c>
    </row>
    <row r="348" spans="3:9" x14ac:dyDescent="0.25">
      <c r="C348" s="1">
        <v>2534626</v>
      </c>
      <c r="D348" s="1"/>
      <c r="H348" s="39" t="s">
        <v>505</v>
      </c>
      <c r="I348" s="1" t="s">
        <v>965</v>
      </c>
    </row>
    <row r="349" spans="3:9" x14ac:dyDescent="0.25">
      <c r="C349" s="1">
        <v>2534824</v>
      </c>
      <c r="D349" s="1"/>
      <c r="H349" s="39" t="s">
        <v>506</v>
      </c>
      <c r="I349" s="1" t="s">
        <v>966</v>
      </c>
    </row>
    <row r="350" spans="3:9" x14ac:dyDescent="0.25">
      <c r="C350" s="1">
        <v>2559861</v>
      </c>
      <c r="D350" s="1"/>
      <c r="H350" s="39" t="s">
        <v>507</v>
      </c>
      <c r="I350" s="1" t="s">
        <v>967</v>
      </c>
    </row>
    <row r="351" spans="3:9" x14ac:dyDescent="0.25">
      <c r="C351" s="1">
        <v>2547823</v>
      </c>
      <c r="D351" s="1"/>
      <c r="H351" s="39" t="s">
        <v>508</v>
      </c>
      <c r="I351" s="1" t="s">
        <v>968</v>
      </c>
    </row>
    <row r="352" spans="3:9" x14ac:dyDescent="0.25">
      <c r="C352" s="1">
        <v>2617667</v>
      </c>
      <c r="D352" s="1"/>
      <c r="H352" s="39" t="s">
        <v>509</v>
      </c>
      <c r="I352" s="1" t="s">
        <v>969</v>
      </c>
    </row>
    <row r="353" spans="3:9" x14ac:dyDescent="0.25">
      <c r="C353" s="1">
        <v>2623898</v>
      </c>
      <c r="D353" s="1"/>
      <c r="H353" s="39" t="s">
        <v>510</v>
      </c>
      <c r="I353" s="1" t="s">
        <v>970</v>
      </c>
    </row>
    <row r="354" spans="3:9" x14ac:dyDescent="0.25">
      <c r="C354" s="1">
        <v>2621058</v>
      </c>
      <c r="D354" s="1"/>
      <c r="H354" s="39" t="s">
        <v>511</v>
      </c>
      <c r="I354" s="1" t="s">
        <v>971</v>
      </c>
    </row>
    <row r="355" spans="3:9" x14ac:dyDescent="0.25">
      <c r="C355" s="1">
        <v>2634044</v>
      </c>
      <c r="D355" s="1"/>
      <c r="H355" s="39" t="s">
        <v>512</v>
      </c>
      <c r="I355" s="1" t="s">
        <v>972</v>
      </c>
    </row>
    <row r="356" spans="3:9" x14ac:dyDescent="0.25">
      <c r="C356" s="1">
        <v>2668960</v>
      </c>
      <c r="D356" s="1"/>
      <c r="H356" s="39" t="s">
        <v>513</v>
      </c>
      <c r="I356" s="1" t="s">
        <v>973</v>
      </c>
    </row>
    <row r="357" spans="3:9" x14ac:dyDescent="0.25">
      <c r="C357" s="1">
        <v>2696712</v>
      </c>
      <c r="D357" s="1"/>
      <c r="H357" s="39" t="s">
        <v>514</v>
      </c>
      <c r="I357" s="1" t="s">
        <v>974</v>
      </c>
    </row>
    <row r="358" spans="3:9" x14ac:dyDescent="0.25">
      <c r="C358" s="1">
        <v>2684447</v>
      </c>
      <c r="D358" s="1"/>
      <c r="H358" s="39" t="s">
        <v>515</v>
      </c>
      <c r="I358" s="1" t="s">
        <v>975</v>
      </c>
    </row>
    <row r="359" spans="3:9" x14ac:dyDescent="0.25">
      <c r="C359" s="1">
        <v>2689317</v>
      </c>
      <c r="D359" s="1"/>
      <c r="H359" s="39" t="s">
        <v>516</v>
      </c>
      <c r="I359" s="1" t="s">
        <v>976</v>
      </c>
    </row>
    <row r="360" spans="3:9" x14ac:dyDescent="0.25">
      <c r="C360" s="1">
        <v>2695366</v>
      </c>
      <c r="D360" s="1"/>
      <c r="H360" s="39" t="s">
        <v>517</v>
      </c>
      <c r="I360" s="1" t="s">
        <v>977</v>
      </c>
    </row>
    <row r="361" spans="3:9" x14ac:dyDescent="0.25">
      <c r="C361" s="1">
        <v>2699087</v>
      </c>
      <c r="D361" s="1"/>
      <c r="H361" s="39" t="s">
        <v>518</v>
      </c>
      <c r="I361" s="1" t="s">
        <v>978</v>
      </c>
    </row>
    <row r="362" spans="3:9" x14ac:dyDescent="0.25">
      <c r="C362" s="1">
        <v>2688259</v>
      </c>
      <c r="D362" s="1"/>
      <c r="H362" s="39" t="s">
        <v>519</v>
      </c>
      <c r="I362" s="1" t="s">
        <v>979</v>
      </c>
    </row>
    <row r="363" spans="3:9" x14ac:dyDescent="0.25">
      <c r="C363" s="1">
        <v>2681703</v>
      </c>
      <c r="D363" s="1"/>
      <c r="H363" s="39" t="s">
        <v>520</v>
      </c>
      <c r="I363" s="1" t="s">
        <v>980</v>
      </c>
    </row>
    <row r="364" spans="3:9" x14ac:dyDescent="0.25">
      <c r="C364" s="1">
        <v>2690963</v>
      </c>
      <c r="D364" s="1"/>
      <c r="H364" s="39" t="s">
        <v>521</v>
      </c>
      <c r="I364" s="1" t="s">
        <v>981</v>
      </c>
    </row>
    <row r="365" spans="3:9" x14ac:dyDescent="0.25">
      <c r="C365" s="1">
        <v>2698788</v>
      </c>
      <c r="D365" s="1"/>
      <c r="H365" s="39" t="s">
        <v>522</v>
      </c>
      <c r="I365" s="1" t="s">
        <v>982</v>
      </c>
    </row>
    <row r="366" spans="3:9" x14ac:dyDescent="0.25">
      <c r="C366" s="1">
        <v>2703970</v>
      </c>
      <c r="D366" s="1"/>
      <c r="H366" s="39" t="s">
        <v>523</v>
      </c>
      <c r="I366" s="1" t="s">
        <v>983</v>
      </c>
    </row>
    <row r="367" spans="3:9" x14ac:dyDescent="0.25">
      <c r="C367" s="1">
        <v>2788261</v>
      </c>
      <c r="D367" s="1"/>
      <c r="H367" s="39" t="s">
        <v>524</v>
      </c>
      <c r="I367" s="1" t="s">
        <v>984</v>
      </c>
    </row>
    <row r="368" spans="3:9" x14ac:dyDescent="0.25">
      <c r="C368" s="1">
        <v>2788621</v>
      </c>
      <c r="D368" s="1"/>
      <c r="H368" s="39" t="s">
        <v>525</v>
      </c>
      <c r="I368" s="1" t="s">
        <v>985</v>
      </c>
    </row>
    <row r="369" spans="3:9" x14ac:dyDescent="0.25">
      <c r="C369" s="1">
        <v>2684949</v>
      </c>
      <c r="D369" s="1"/>
      <c r="H369" s="39" t="s">
        <v>526</v>
      </c>
      <c r="I369" s="1" t="s">
        <v>986</v>
      </c>
    </row>
    <row r="370" spans="3:9" x14ac:dyDescent="0.25">
      <c r="C370" s="1">
        <v>2633985</v>
      </c>
      <c r="D370" s="1"/>
      <c r="H370" s="39" t="s">
        <v>527</v>
      </c>
      <c r="I370" s="1" t="s">
        <v>987</v>
      </c>
    </row>
    <row r="371" spans="3:9" x14ac:dyDescent="0.25">
      <c r="C371" s="1">
        <v>2787931</v>
      </c>
      <c r="D371" s="1"/>
      <c r="H371" s="39" t="s">
        <v>528</v>
      </c>
      <c r="I371" s="1" t="s">
        <v>988</v>
      </c>
    </row>
    <row r="372" spans="3:9" x14ac:dyDescent="0.25">
      <c r="C372" s="1">
        <v>2634344</v>
      </c>
      <c r="D372" s="1"/>
      <c r="H372" s="39" t="s">
        <v>529</v>
      </c>
      <c r="I372" s="1" t="s">
        <v>989</v>
      </c>
    </row>
    <row r="373" spans="3:9" x14ac:dyDescent="0.25">
      <c r="C373" s="1">
        <v>2617666</v>
      </c>
      <c r="D373" s="1"/>
      <c r="H373" s="39" t="s">
        <v>530</v>
      </c>
      <c r="I373" s="1" t="s">
        <v>990</v>
      </c>
    </row>
    <row r="374" spans="3:9" x14ac:dyDescent="0.25">
      <c r="C374" s="1">
        <v>2731740</v>
      </c>
      <c r="D374" s="1"/>
      <c r="H374" s="39" t="s">
        <v>531</v>
      </c>
      <c r="I374" s="1" t="s">
        <v>991</v>
      </c>
    </row>
    <row r="375" spans="3:9" x14ac:dyDescent="0.25">
      <c r="C375" s="1">
        <v>2742965</v>
      </c>
      <c r="D375" s="1"/>
      <c r="H375" s="39" t="s">
        <v>532</v>
      </c>
      <c r="I375" s="1" t="s">
        <v>992</v>
      </c>
    </row>
    <row r="376" spans="3:9" x14ac:dyDescent="0.25">
      <c r="C376" s="1">
        <v>2788259</v>
      </c>
      <c r="D376" s="1"/>
      <c r="H376" s="39" t="s">
        <v>533</v>
      </c>
      <c r="I376" s="1" t="s">
        <v>993</v>
      </c>
    </row>
    <row r="377" spans="3:9" x14ac:dyDescent="0.25">
      <c r="C377" s="1">
        <v>2774115</v>
      </c>
      <c r="D377" s="1"/>
      <c r="H377" s="39" t="s">
        <v>534</v>
      </c>
      <c r="I377" s="1" t="s">
        <v>994</v>
      </c>
    </row>
    <row r="378" spans="3:9" x14ac:dyDescent="0.25">
      <c r="C378" s="1">
        <v>2781402</v>
      </c>
      <c r="D378" s="1"/>
      <c r="H378" s="39" t="s">
        <v>535</v>
      </c>
      <c r="I378" s="1" t="s">
        <v>995</v>
      </c>
    </row>
    <row r="379" spans="3:9" x14ac:dyDescent="0.25">
      <c r="C379" s="1">
        <v>2783110</v>
      </c>
      <c r="D379" s="1"/>
      <c r="H379" s="39" t="s">
        <v>536</v>
      </c>
      <c r="I379" s="1" t="s">
        <v>996</v>
      </c>
    </row>
    <row r="380" spans="3:9" x14ac:dyDescent="0.25">
      <c r="C380" s="1">
        <v>2782094</v>
      </c>
      <c r="D380" s="1"/>
      <c r="H380" s="39" t="s">
        <v>537</v>
      </c>
      <c r="I380" s="1" t="s">
        <v>997</v>
      </c>
    </row>
    <row r="381" spans="3:9" x14ac:dyDescent="0.25">
      <c r="C381" s="1">
        <v>2787495</v>
      </c>
      <c r="D381" s="1"/>
      <c r="H381" s="39" t="s">
        <v>538</v>
      </c>
      <c r="I381" s="1" t="s">
        <v>998</v>
      </c>
    </row>
    <row r="382" spans="3:9" x14ac:dyDescent="0.25">
      <c r="C382" s="1">
        <v>2776747</v>
      </c>
      <c r="D382" s="1"/>
      <c r="H382" s="39" t="s">
        <v>539</v>
      </c>
      <c r="I382" s="1" t="s">
        <v>999</v>
      </c>
    </row>
    <row r="383" spans="3:9" x14ac:dyDescent="0.25">
      <c r="C383" s="1">
        <v>2781394</v>
      </c>
      <c r="D383" s="1"/>
      <c r="H383" s="39" t="s">
        <v>540</v>
      </c>
      <c r="I383" s="1" t="s">
        <v>1000</v>
      </c>
    </row>
    <row r="384" spans="3:9" x14ac:dyDescent="0.25">
      <c r="C384" s="1">
        <v>2779054</v>
      </c>
      <c r="D384" s="1"/>
      <c r="H384" s="39" t="s">
        <v>541</v>
      </c>
      <c r="I384" s="1" t="s">
        <v>1001</v>
      </c>
    </row>
    <row r="385" spans="3:9" x14ac:dyDescent="0.25">
      <c r="C385" s="1">
        <v>2776325</v>
      </c>
      <c r="D385" s="1"/>
      <c r="H385" s="39" t="s">
        <v>542</v>
      </c>
      <c r="I385" s="1" t="s">
        <v>1002</v>
      </c>
    </row>
    <row r="386" spans="3:9" x14ac:dyDescent="0.25">
      <c r="C386" s="1">
        <v>2788620</v>
      </c>
      <c r="D386" s="1"/>
      <c r="H386" s="39" t="s">
        <v>543</v>
      </c>
      <c r="I386" s="1" t="s">
        <v>1003</v>
      </c>
    </row>
    <row r="387" spans="3:9" x14ac:dyDescent="0.25">
      <c r="C387" s="1">
        <v>2791186</v>
      </c>
      <c r="D387" s="1"/>
      <c r="H387" s="39" t="s">
        <v>544</v>
      </c>
      <c r="I387" s="1" t="s">
        <v>1004</v>
      </c>
    </row>
    <row r="388" spans="3:9" x14ac:dyDescent="0.25">
      <c r="C388" s="1">
        <v>2728195</v>
      </c>
      <c r="D388" s="1"/>
      <c r="H388" s="39" t="s">
        <v>545</v>
      </c>
      <c r="I388" s="1" t="s">
        <v>1005</v>
      </c>
    </row>
    <row r="389" spans="3:9" x14ac:dyDescent="0.25">
      <c r="C389" s="1">
        <v>2787932</v>
      </c>
      <c r="D389" s="1"/>
      <c r="H389" s="39" t="s">
        <v>546</v>
      </c>
      <c r="I389" s="1" t="s">
        <v>1006</v>
      </c>
    </row>
    <row r="390" spans="3:9" x14ac:dyDescent="0.25">
      <c r="C390" s="1">
        <v>2788378</v>
      </c>
      <c r="D390" s="1"/>
      <c r="H390" s="39" t="s">
        <v>547</v>
      </c>
      <c r="I390" s="1" t="s">
        <v>1007</v>
      </c>
    </row>
    <row r="391" spans="3:9" x14ac:dyDescent="0.25">
      <c r="C391" s="1">
        <v>2786638</v>
      </c>
      <c r="D391" s="1"/>
      <c r="H391" s="39" t="s">
        <v>548</v>
      </c>
      <c r="I391" s="1" t="s">
        <v>1008</v>
      </c>
    </row>
    <row r="392" spans="3:9" x14ac:dyDescent="0.25">
      <c r="C392" s="1">
        <v>2810393</v>
      </c>
      <c r="D392" s="1"/>
      <c r="H392" s="39" t="s">
        <v>549</v>
      </c>
      <c r="I392" s="1" t="s">
        <v>1009</v>
      </c>
    </row>
    <row r="393" spans="3:9" x14ac:dyDescent="0.25">
      <c r="C393" s="1">
        <v>2820604</v>
      </c>
      <c r="D393" s="1"/>
      <c r="H393" s="39" t="s">
        <v>550</v>
      </c>
      <c r="I393" s="1" t="s">
        <v>1010</v>
      </c>
    </row>
    <row r="394" spans="3:9" x14ac:dyDescent="0.25">
      <c r="C394" s="1">
        <v>2819111</v>
      </c>
      <c r="D394" s="1"/>
      <c r="H394" s="39" t="s">
        <v>551</v>
      </c>
      <c r="I394" s="1" t="s">
        <v>1011</v>
      </c>
    </row>
    <row r="395" spans="3:9" x14ac:dyDescent="0.25">
      <c r="C395" s="1">
        <v>2862803</v>
      </c>
      <c r="D395" s="1"/>
      <c r="H395" s="39" t="s">
        <v>552</v>
      </c>
      <c r="I395" s="1" t="s">
        <v>1012</v>
      </c>
    </row>
    <row r="396" spans="3:9" x14ac:dyDescent="0.25">
      <c r="C396" s="1">
        <v>2852366</v>
      </c>
      <c r="D396" s="1"/>
      <c r="H396" s="39" t="s">
        <v>553</v>
      </c>
      <c r="I396" s="1" t="s">
        <v>1013</v>
      </c>
    </row>
    <row r="397" spans="3:9" x14ac:dyDescent="0.25">
      <c r="C397" s="1">
        <v>2911464</v>
      </c>
      <c r="D397" s="1"/>
      <c r="H397" s="39" t="s">
        <v>554</v>
      </c>
      <c r="I397" s="1" t="s">
        <v>1014</v>
      </c>
    </row>
    <row r="398" spans="3:9" x14ac:dyDescent="0.25">
      <c r="C398" s="1">
        <v>2916274</v>
      </c>
      <c r="D398" s="1"/>
      <c r="H398" s="39" t="s">
        <v>555</v>
      </c>
      <c r="I398" s="1" t="s">
        <v>1015</v>
      </c>
    </row>
    <row r="399" spans="3:9" x14ac:dyDescent="0.25">
      <c r="C399" s="1">
        <v>2919364</v>
      </c>
      <c r="D399" s="1"/>
      <c r="H399" s="39" t="s">
        <v>556</v>
      </c>
      <c r="I399" s="1" t="s">
        <v>1016</v>
      </c>
    </row>
    <row r="400" spans="3:9" x14ac:dyDescent="0.25">
      <c r="C400" s="1">
        <v>2916942</v>
      </c>
      <c r="D400" s="1"/>
      <c r="H400" s="39" t="s">
        <v>557</v>
      </c>
      <c r="I400" s="1" t="s">
        <v>1017</v>
      </c>
    </row>
    <row r="401" spans="3:9" x14ac:dyDescent="0.25">
      <c r="C401" s="1">
        <v>2857318</v>
      </c>
      <c r="D401" s="1"/>
      <c r="H401" s="39" t="s">
        <v>558</v>
      </c>
      <c r="I401" s="1" t="s">
        <v>1018</v>
      </c>
    </row>
    <row r="402" spans="3:9" x14ac:dyDescent="0.25">
      <c r="C402" s="1">
        <v>2872368</v>
      </c>
      <c r="D402" s="1"/>
      <c r="H402" s="39" t="s">
        <v>559</v>
      </c>
      <c r="I402" s="1" t="s">
        <v>1019</v>
      </c>
    </row>
    <row r="403" spans="3:9" x14ac:dyDescent="0.25">
      <c r="C403" s="1">
        <v>2856910</v>
      </c>
      <c r="D403" s="1"/>
      <c r="H403" s="39" t="s">
        <v>560</v>
      </c>
      <c r="I403" s="1" t="s">
        <v>1020</v>
      </c>
    </row>
    <row r="404" spans="3:9" x14ac:dyDescent="0.25">
      <c r="C404" s="1">
        <v>2852370</v>
      </c>
      <c r="D404" s="1"/>
      <c r="H404" s="39" t="s">
        <v>561</v>
      </c>
      <c r="I404" s="1" t="s">
        <v>1021</v>
      </c>
    </row>
    <row r="405" spans="3:9" x14ac:dyDescent="0.25">
      <c r="C405" s="1">
        <v>2911463</v>
      </c>
      <c r="D405" s="1"/>
      <c r="H405" s="39" t="s">
        <v>562</v>
      </c>
      <c r="I405" s="1" t="s">
        <v>1022</v>
      </c>
    </row>
    <row r="406" spans="3:9" x14ac:dyDescent="0.25">
      <c r="C406" s="1">
        <v>2912740</v>
      </c>
      <c r="D406" s="1"/>
      <c r="H406" s="39" t="s">
        <v>563</v>
      </c>
      <c r="I406" s="1" t="s">
        <v>1023</v>
      </c>
    </row>
    <row r="407" spans="3:9" x14ac:dyDescent="0.25">
      <c r="C407" s="1">
        <v>2911462</v>
      </c>
      <c r="D407" s="1"/>
      <c r="H407" s="39" t="s">
        <v>564</v>
      </c>
      <c r="I407" s="1" t="s">
        <v>1024</v>
      </c>
    </row>
    <row r="408" spans="3:9" x14ac:dyDescent="0.25">
      <c r="C408" s="1">
        <v>2919363</v>
      </c>
      <c r="D408" s="1"/>
      <c r="H408" s="39" t="s">
        <v>565</v>
      </c>
      <c r="I408" s="1" t="s">
        <v>1025</v>
      </c>
    </row>
    <row r="409" spans="3:9" x14ac:dyDescent="0.25">
      <c r="C409" s="1">
        <v>2916940</v>
      </c>
      <c r="D409" s="1"/>
      <c r="H409" s="39" t="s">
        <v>566</v>
      </c>
      <c r="I409" s="1" t="s">
        <v>1026</v>
      </c>
    </row>
    <row r="410" spans="3:9" x14ac:dyDescent="0.25">
      <c r="C410" s="1">
        <v>2962936</v>
      </c>
      <c r="D410" s="1"/>
      <c r="H410" s="39" t="s">
        <v>567</v>
      </c>
      <c r="I410" s="1" t="s">
        <v>1027</v>
      </c>
    </row>
    <row r="411" spans="3:9" x14ac:dyDescent="0.25">
      <c r="C411" s="1">
        <v>2972623</v>
      </c>
      <c r="D411" s="1"/>
      <c r="H411" s="39" t="s">
        <v>568</v>
      </c>
      <c r="I411" s="1" t="s">
        <v>1028</v>
      </c>
    </row>
    <row r="412" spans="3:9" x14ac:dyDescent="0.25">
      <c r="C412" s="1">
        <v>2961995</v>
      </c>
      <c r="D412" s="1"/>
      <c r="H412" s="39" t="s">
        <v>569</v>
      </c>
      <c r="I412" s="1" t="s">
        <v>1029</v>
      </c>
    </row>
    <row r="413" spans="3:9" x14ac:dyDescent="0.25">
      <c r="C413" s="1">
        <v>2961365</v>
      </c>
      <c r="D413" s="1"/>
      <c r="H413" s="39" t="s">
        <v>570</v>
      </c>
      <c r="I413" s="1" t="s">
        <v>1030</v>
      </c>
    </row>
    <row r="414" spans="3:9" x14ac:dyDescent="0.25">
      <c r="C414" s="1">
        <v>2987319</v>
      </c>
      <c r="D414" s="1"/>
      <c r="H414" s="39" t="s">
        <v>571</v>
      </c>
      <c r="I414" s="1" t="s">
        <v>1031</v>
      </c>
    </row>
    <row r="415" spans="3:9" x14ac:dyDescent="0.25">
      <c r="C415" s="1">
        <v>2997531</v>
      </c>
      <c r="D415" s="1"/>
      <c r="H415" s="39" t="s">
        <v>572</v>
      </c>
      <c r="I415" s="1" t="s">
        <v>1032</v>
      </c>
    </row>
    <row r="416" spans="3:9" x14ac:dyDescent="0.25">
      <c r="C416" s="1">
        <v>3002660</v>
      </c>
      <c r="D416" s="1"/>
      <c r="H416" s="39" t="s">
        <v>573</v>
      </c>
      <c r="I416" s="1" t="s">
        <v>1033</v>
      </c>
    </row>
    <row r="417" spans="3:9" x14ac:dyDescent="0.25">
      <c r="C417" s="1">
        <v>3005656</v>
      </c>
      <c r="D417" s="1"/>
      <c r="H417" s="39" t="s">
        <v>574</v>
      </c>
      <c r="I417" s="1" t="s">
        <v>1034</v>
      </c>
    </row>
    <row r="418" spans="3:9" x14ac:dyDescent="0.25">
      <c r="C418" s="1">
        <v>2857321</v>
      </c>
      <c r="D418" s="1"/>
      <c r="H418" s="39" t="s">
        <v>575</v>
      </c>
      <c r="I418" s="1" t="s">
        <v>1035</v>
      </c>
    </row>
    <row r="419" spans="3:9" x14ac:dyDescent="0.25">
      <c r="C419" s="1">
        <v>2872367</v>
      </c>
      <c r="D419" s="1"/>
      <c r="H419" s="39" t="s">
        <v>576</v>
      </c>
      <c r="I419" s="1" t="s">
        <v>1036</v>
      </c>
    </row>
    <row r="420" spans="3:9" x14ac:dyDescent="0.25">
      <c r="C420" s="1">
        <v>3002480</v>
      </c>
      <c r="D420" s="1"/>
      <c r="H420" s="39" t="s">
        <v>577</v>
      </c>
      <c r="I420" s="1" t="s">
        <v>1037</v>
      </c>
    </row>
    <row r="421" spans="3:9" x14ac:dyDescent="0.25">
      <c r="C421" s="1">
        <v>2997686</v>
      </c>
      <c r="D421" s="1"/>
      <c r="H421" s="39" t="s">
        <v>578</v>
      </c>
      <c r="I421" s="1" t="s">
        <v>1038</v>
      </c>
    </row>
    <row r="422" spans="3:9" x14ac:dyDescent="0.25">
      <c r="C422" s="1">
        <v>2971056</v>
      </c>
      <c r="D422" s="1"/>
      <c r="H422" s="39" t="s">
        <v>579</v>
      </c>
      <c r="I422" s="1" t="s">
        <v>1039</v>
      </c>
    </row>
    <row r="423" spans="3:9" x14ac:dyDescent="0.25">
      <c r="C423" s="1">
        <v>3025035</v>
      </c>
      <c r="D423" s="1"/>
      <c r="H423" s="39" t="s">
        <v>580</v>
      </c>
      <c r="I423" s="1" t="s">
        <v>1040</v>
      </c>
    </row>
    <row r="424" spans="3:9" x14ac:dyDescent="0.25">
      <c r="C424" s="1">
        <v>2856907</v>
      </c>
      <c r="D424" s="1"/>
      <c r="H424" s="39" t="s">
        <v>581</v>
      </c>
      <c r="I424" s="1" t="s">
        <v>1041</v>
      </c>
    </row>
    <row r="425" spans="3:9" x14ac:dyDescent="0.25">
      <c r="C425" s="1">
        <v>2956564</v>
      </c>
      <c r="D425" s="1"/>
      <c r="H425" s="39" t="s">
        <v>582</v>
      </c>
      <c r="I425" s="1" t="s">
        <v>1042</v>
      </c>
    </row>
    <row r="426" spans="3:9" x14ac:dyDescent="0.25">
      <c r="C426" s="1">
        <v>2962935</v>
      </c>
      <c r="D426" s="1"/>
      <c r="H426" s="39" t="s">
        <v>583</v>
      </c>
      <c r="I426" s="1" t="s">
        <v>1043</v>
      </c>
    </row>
    <row r="427" spans="3:9" x14ac:dyDescent="0.25">
      <c r="C427" s="1">
        <v>2972622</v>
      </c>
      <c r="D427" s="1"/>
      <c r="H427" s="39" t="s">
        <v>584</v>
      </c>
      <c r="I427" s="1" t="s">
        <v>1044</v>
      </c>
    </row>
    <row r="428" spans="3:9" x14ac:dyDescent="0.25">
      <c r="C428" s="1">
        <v>2971050</v>
      </c>
      <c r="D428" s="1"/>
      <c r="H428" s="39" t="s">
        <v>585</v>
      </c>
      <c r="I428" s="1" t="s">
        <v>1045</v>
      </c>
    </row>
    <row r="429" spans="3:9" x14ac:dyDescent="0.25">
      <c r="C429" s="1">
        <v>2963073</v>
      </c>
      <c r="D429" s="1"/>
      <c r="H429" s="39" t="s">
        <v>586</v>
      </c>
      <c r="I429" s="1" t="s">
        <v>1046</v>
      </c>
    </row>
    <row r="430" spans="3:9" x14ac:dyDescent="0.25">
      <c r="C430" s="1">
        <v>2961990</v>
      </c>
      <c r="D430" s="1"/>
      <c r="H430" s="39" t="s">
        <v>587</v>
      </c>
      <c r="I430" s="1" t="s">
        <v>1047</v>
      </c>
    </row>
    <row r="431" spans="3:9" x14ac:dyDescent="0.25">
      <c r="C431" s="1">
        <v>2961357</v>
      </c>
      <c r="D431" s="1"/>
      <c r="H431" s="39" t="s">
        <v>588</v>
      </c>
      <c r="I431" s="1" t="s">
        <v>1048</v>
      </c>
    </row>
    <row r="432" spans="3:9" x14ac:dyDescent="0.25">
      <c r="C432" s="1">
        <v>2987702</v>
      </c>
      <c r="D432" s="1"/>
      <c r="H432" s="39" t="s">
        <v>589</v>
      </c>
      <c r="I432" s="1" t="s">
        <v>1049</v>
      </c>
    </row>
    <row r="433" spans="3:9" x14ac:dyDescent="0.25">
      <c r="C433" s="1">
        <v>2997530</v>
      </c>
      <c r="D433" s="1"/>
      <c r="H433" s="39" t="s">
        <v>590</v>
      </c>
      <c r="I433" s="1" t="s">
        <v>1050</v>
      </c>
    </row>
    <row r="434" spans="3:9" x14ac:dyDescent="0.25">
      <c r="C434" s="1">
        <v>2997616</v>
      </c>
      <c r="D434" s="1"/>
      <c r="H434" s="39" t="s">
        <v>591</v>
      </c>
      <c r="I434" s="1" t="s">
        <v>1051</v>
      </c>
    </row>
    <row r="435" spans="3:9" x14ac:dyDescent="0.25">
      <c r="C435" s="1">
        <v>2995394</v>
      </c>
      <c r="D435" s="1"/>
      <c r="H435" s="39" t="s">
        <v>592</v>
      </c>
      <c r="I435" s="1" t="s">
        <v>1052</v>
      </c>
    </row>
    <row r="436" spans="3:9" x14ac:dyDescent="0.25">
      <c r="C436" s="1">
        <v>2992854</v>
      </c>
      <c r="D436" s="1"/>
      <c r="H436" s="39" t="s">
        <v>593</v>
      </c>
      <c r="I436" s="1" t="s">
        <v>1053</v>
      </c>
    </row>
    <row r="437" spans="3:9" x14ac:dyDescent="0.25">
      <c r="C437" s="1">
        <v>3002659</v>
      </c>
      <c r="D437" s="1"/>
      <c r="H437" s="39" t="s">
        <v>594</v>
      </c>
      <c r="I437" s="1" t="s">
        <v>1054</v>
      </c>
    </row>
    <row r="438" spans="3:9" x14ac:dyDescent="0.25">
      <c r="C438" s="1">
        <v>3005655</v>
      </c>
      <c r="D438" s="1"/>
      <c r="H438" s="39" t="s">
        <v>595</v>
      </c>
      <c r="I438" s="1" t="s">
        <v>1055</v>
      </c>
    </row>
    <row r="439" spans="3:9" x14ac:dyDescent="0.25">
      <c r="C439" s="1">
        <v>3059363</v>
      </c>
      <c r="D439" s="1"/>
      <c r="H439" s="39" t="s">
        <v>596</v>
      </c>
      <c r="I439" s="1" t="s">
        <v>1056</v>
      </c>
    </row>
    <row r="440" spans="3:9" x14ac:dyDescent="0.25">
      <c r="C440" s="1">
        <v>3056822</v>
      </c>
      <c r="D440" s="1"/>
      <c r="H440" s="39" t="s">
        <v>597</v>
      </c>
      <c r="I440" s="1" t="s">
        <v>1057</v>
      </c>
    </row>
    <row r="441" spans="3:9" x14ac:dyDescent="0.25">
      <c r="C441" s="1">
        <v>3070333</v>
      </c>
      <c r="D441" s="1"/>
      <c r="H441" s="39" t="s">
        <v>598</v>
      </c>
      <c r="I441" s="1" t="s">
        <v>1058</v>
      </c>
    </row>
    <row r="442" spans="3:9" x14ac:dyDescent="0.25">
      <c r="C442" s="1">
        <v>2996873</v>
      </c>
      <c r="D442" s="1"/>
      <c r="H442" s="39" t="s">
        <v>599</v>
      </c>
      <c r="I442" s="1" t="s">
        <v>1059</v>
      </c>
    </row>
    <row r="443" spans="3:9" x14ac:dyDescent="0.25">
      <c r="C443" s="1">
        <v>3017066</v>
      </c>
      <c r="D443" s="1"/>
      <c r="H443" s="39" t="s">
        <v>600</v>
      </c>
      <c r="I443" s="1" t="s">
        <v>1060</v>
      </c>
    </row>
    <row r="444" spans="3:9" x14ac:dyDescent="0.25">
      <c r="C444" s="1">
        <v>3002479</v>
      </c>
      <c r="D444" s="1"/>
      <c r="H444" s="39" t="s">
        <v>601</v>
      </c>
      <c r="I444" s="1" t="s">
        <v>1061</v>
      </c>
    </row>
    <row r="445" spans="3:9" x14ac:dyDescent="0.25">
      <c r="C445" s="1">
        <v>2997685</v>
      </c>
      <c r="D445" s="1"/>
      <c r="H445" s="39" t="s">
        <v>602</v>
      </c>
      <c r="I445" s="1" t="s">
        <v>1062</v>
      </c>
    </row>
    <row r="446" spans="3:9" x14ac:dyDescent="0.25">
      <c r="C446" s="1">
        <v>3077175</v>
      </c>
      <c r="D446" s="1"/>
      <c r="H446" s="39" t="s">
        <v>603</v>
      </c>
      <c r="I446" s="1" t="s">
        <v>1063</v>
      </c>
    </row>
    <row r="447" spans="3:9" x14ac:dyDescent="0.25">
      <c r="C447" s="1">
        <v>2971061</v>
      </c>
      <c r="D447" s="1"/>
      <c r="H447" s="39" t="s">
        <v>604</v>
      </c>
      <c r="I447" s="1" t="s">
        <v>1064</v>
      </c>
    </row>
    <row r="448" spans="3:9" x14ac:dyDescent="0.25">
      <c r="C448" s="1">
        <v>3025034</v>
      </c>
      <c r="D448" s="1"/>
      <c r="H448" s="39" t="s">
        <v>605</v>
      </c>
      <c r="I448" s="1" t="s">
        <v>1065</v>
      </c>
    </row>
    <row r="449" spans="3:9" x14ac:dyDescent="0.25">
      <c r="C449" s="1">
        <v>2957809</v>
      </c>
      <c r="D449" s="1"/>
      <c r="H449" s="39" t="s">
        <v>606</v>
      </c>
      <c r="I449" s="1" t="s">
        <v>1066</v>
      </c>
    </row>
    <row r="450" spans="3:9" x14ac:dyDescent="0.25">
      <c r="C450" s="1">
        <v>3059366</v>
      </c>
      <c r="D450" s="1"/>
      <c r="H450" s="39" t="s">
        <v>607</v>
      </c>
      <c r="I450" s="1" t="s">
        <v>1067</v>
      </c>
    </row>
    <row r="451" spans="3:9" x14ac:dyDescent="0.25">
      <c r="C451" s="1">
        <v>3053632</v>
      </c>
      <c r="D451" s="1"/>
      <c r="H451" s="39" t="s">
        <v>608</v>
      </c>
      <c r="I451" s="1" t="s">
        <v>1068</v>
      </c>
    </row>
    <row r="452" spans="3:9" x14ac:dyDescent="0.25">
      <c r="C452" s="1">
        <v>3049795</v>
      </c>
      <c r="D452" s="1"/>
      <c r="H452" s="39" t="s">
        <v>609</v>
      </c>
      <c r="I452" s="1" t="s">
        <v>1069</v>
      </c>
    </row>
    <row r="453" spans="3:9" x14ac:dyDescent="0.25">
      <c r="C453" s="1">
        <v>3048391</v>
      </c>
      <c r="D453" s="1"/>
      <c r="H453" s="39" t="s">
        <v>610</v>
      </c>
      <c r="I453" s="1" t="s">
        <v>1070</v>
      </c>
    </row>
    <row r="454" spans="3:9" x14ac:dyDescent="0.25">
      <c r="C454" s="1">
        <v>3061938</v>
      </c>
      <c r="D454" s="1"/>
      <c r="H454" s="39" t="s">
        <v>611</v>
      </c>
      <c r="I454" s="1" t="s">
        <v>1071</v>
      </c>
    </row>
    <row r="455" spans="3:9" x14ac:dyDescent="0.25">
      <c r="C455" s="1">
        <v>3057512</v>
      </c>
      <c r="D455" s="1"/>
      <c r="H455" s="39" t="s">
        <v>612</v>
      </c>
      <c r="I455" s="1" t="s">
        <v>1072</v>
      </c>
    </row>
    <row r="456" spans="3:9" x14ac:dyDescent="0.25">
      <c r="C456" s="1">
        <v>3057614</v>
      </c>
      <c r="D456" s="1"/>
      <c r="H456" s="39" t="s">
        <v>613</v>
      </c>
      <c r="I456" s="1" t="s">
        <v>1073</v>
      </c>
    </row>
    <row r="457" spans="3:9" x14ac:dyDescent="0.25">
      <c r="C457" s="1">
        <v>3064819</v>
      </c>
      <c r="D457" s="1"/>
      <c r="H457" s="39" t="s">
        <v>614</v>
      </c>
      <c r="I457" s="1" t="s">
        <v>1074</v>
      </c>
    </row>
    <row r="458" spans="3:9" x14ac:dyDescent="0.25">
      <c r="C458" s="1">
        <v>3052233</v>
      </c>
      <c r="D458" s="1"/>
      <c r="H458" s="39" t="s">
        <v>615</v>
      </c>
      <c r="I458" s="1" t="s">
        <v>1075</v>
      </c>
    </row>
    <row r="459" spans="3:9" x14ac:dyDescent="0.25">
      <c r="C459" s="1">
        <v>3052470</v>
      </c>
      <c r="D459" s="1"/>
      <c r="H459" s="39" t="s">
        <v>616</v>
      </c>
      <c r="I459" s="1" t="s">
        <v>1076</v>
      </c>
    </row>
    <row r="460" spans="3:9" x14ac:dyDescent="0.25">
      <c r="C460" s="1">
        <v>3052927</v>
      </c>
      <c r="D460" s="1"/>
      <c r="H460" s="39" t="s">
        <v>617</v>
      </c>
      <c r="I460" s="1" t="s">
        <v>1077</v>
      </c>
    </row>
    <row r="461" spans="3:9" x14ac:dyDescent="0.25">
      <c r="C461" s="1">
        <v>3069068</v>
      </c>
      <c r="D461" s="1"/>
      <c r="H461" s="39" t="s">
        <v>618</v>
      </c>
      <c r="I461" s="1" t="s">
        <v>1078</v>
      </c>
    </row>
    <row r="462" spans="3:9" x14ac:dyDescent="0.25">
      <c r="C462" s="1">
        <v>3049250</v>
      </c>
      <c r="D462" s="1"/>
      <c r="H462" s="39" t="s">
        <v>619</v>
      </c>
      <c r="I462" s="1" t="s">
        <v>1079</v>
      </c>
    </row>
    <row r="463" spans="3:9" x14ac:dyDescent="0.25">
      <c r="C463" s="1">
        <v>3062326</v>
      </c>
      <c r="D463" s="1"/>
      <c r="H463" s="39" t="s">
        <v>620</v>
      </c>
      <c r="I463" s="1" t="s">
        <v>1080</v>
      </c>
    </row>
    <row r="464" spans="3:9" x14ac:dyDescent="0.25">
      <c r="C464" s="1">
        <v>3063336</v>
      </c>
      <c r="D464" s="1"/>
      <c r="H464" s="39" t="s">
        <v>621</v>
      </c>
      <c r="I464" s="1" t="s">
        <v>1081</v>
      </c>
    </row>
    <row r="465" spans="3:9" x14ac:dyDescent="0.25">
      <c r="C465" s="1">
        <v>3077174</v>
      </c>
      <c r="D465" s="1"/>
      <c r="H465" s="39" t="s">
        <v>622</v>
      </c>
      <c r="I465" s="1" t="s">
        <v>1082</v>
      </c>
    </row>
    <row r="466" spans="3:9" x14ac:dyDescent="0.25">
      <c r="C466" s="1">
        <v>3054234</v>
      </c>
      <c r="D466" s="1"/>
      <c r="H466" s="39" t="s">
        <v>623</v>
      </c>
      <c r="I466" s="1" t="s">
        <v>1083</v>
      </c>
    </row>
    <row r="467" spans="3:9" x14ac:dyDescent="0.25">
      <c r="C467" s="1">
        <v>3056068</v>
      </c>
      <c r="D467" s="1"/>
      <c r="H467" s="39" t="s">
        <v>624</v>
      </c>
      <c r="I467" s="1" t="s">
        <v>1084</v>
      </c>
    </row>
    <row r="468" spans="3:9" x14ac:dyDescent="0.25">
      <c r="H468" s="39" t="s">
        <v>625</v>
      </c>
      <c r="I468" s="1" t="s">
        <v>1085</v>
      </c>
    </row>
    <row r="469" spans="3:9" x14ac:dyDescent="0.25">
      <c r="H469" s="39" t="s">
        <v>626</v>
      </c>
      <c r="I469" s="1" t="s">
        <v>1086</v>
      </c>
    </row>
    <row r="470" spans="3:9" x14ac:dyDescent="0.25">
      <c r="H470" s="39" t="s">
        <v>627</v>
      </c>
      <c r="I470" s="1" t="s">
        <v>1087</v>
      </c>
    </row>
    <row r="471" spans="3:9" x14ac:dyDescent="0.25">
      <c r="H471" s="39" t="s">
        <v>628</v>
      </c>
      <c r="I471" s="1" t="s">
        <v>1088</v>
      </c>
    </row>
    <row r="472" spans="3:9" x14ac:dyDescent="0.25">
      <c r="H472" s="39" t="s">
        <v>629</v>
      </c>
      <c r="I472" s="1" t="s">
        <v>1089</v>
      </c>
    </row>
    <row r="473" spans="3:9" x14ac:dyDescent="0.25">
      <c r="H473" s="39" t="s">
        <v>630</v>
      </c>
      <c r="I473" s="1" t="s">
        <v>1090</v>
      </c>
    </row>
    <row r="474" spans="3:9" x14ac:dyDescent="0.25">
      <c r="H474" s="39" t="s">
        <v>631</v>
      </c>
      <c r="I474" s="1" t="s">
        <v>1091</v>
      </c>
    </row>
    <row r="475" spans="3:9" x14ac:dyDescent="0.25">
      <c r="H475" s="39" t="s">
        <v>632</v>
      </c>
      <c r="I475" s="1" t="s">
        <v>1092</v>
      </c>
    </row>
    <row r="476" spans="3:9" x14ac:dyDescent="0.25">
      <c r="H476" s="39" t="s">
        <v>633</v>
      </c>
      <c r="I476" s="1" t="s">
        <v>1093</v>
      </c>
    </row>
    <row r="477" spans="3:9" x14ac:dyDescent="0.25">
      <c r="H477" s="39" t="s">
        <v>634</v>
      </c>
      <c r="I477" s="1" t="s">
        <v>1094</v>
      </c>
    </row>
    <row r="478" spans="3:9" x14ac:dyDescent="0.25">
      <c r="H478" s="39" t="s">
        <v>635</v>
      </c>
      <c r="I478" s="1" t="s">
        <v>1095</v>
      </c>
    </row>
    <row r="479" spans="3:9" x14ac:dyDescent="0.25">
      <c r="H479" s="39" t="s">
        <v>636</v>
      </c>
      <c r="I479" s="1" t="s">
        <v>1096</v>
      </c>
    </row>
    <row r="480" spans="3:9" x14ac:dyDescent="0.25">
      <c r="H480" s="39" t="s">
        <v>637</v>
      </c>
      <c r="I480" s="1" t="s">
        <v>1097</v>
      </c>
    </row>
    <row r="481" spans="8:9" x14ac:dyDescent="0.25">
      <c r="H481" s="39" t="s">
        <v>638</v>
      </c>
      <c r="I481" s="1" t="s">
        <v>1098</v>
      </c>
    </row>
    <row r="482" spans="8:9" x14ac:dyDescent="0.25">
      <c r="H482" s="39" t="s">
        <v>639</v>
      </c>
      <c r="I482" s="1" t="s">
        <v>1099</v>
      </c>
    </row>
    <row r="483" spans="8:9" x14ac:dyDescent="0.25">
      <c r="H483" s="39" t="s">
        <v>640</v>
      </c>
      <c r="I483" s="1" t="s">
        <v>1100</v>
      </c>
    </row>
    <row r="484" spans="8:9" x14ac:dyDescent="0.25">
      <c r="H484" s="39" t="s">
        <v>641</v>
      </c>
      <c r="I484" s="1" t="s">
        <v>1101</v>
      </c>
    </row>
    <row r="485" spans="8:9" x14ac:dyDescent="0.25">
      <c r="H485" s="39" t="s">
        <v>642</v>
      </c>
      <c r="I485" s="1" t="s">
        <v>1102</v>
      </c>
    </row>
    <row r="486" spans="8:9" x14ac:dyDescent="0.25">
      <c r="H486" s="39" t="s">
        <v>643</v>
      </c>
      <c r="I486" s="1" t="s">
        <v>1103</v>
      </c>
    </row>
  </sheetData>
  <mergeCells count="2">
    <mergeCell ref="C25:D25"/>
    <mergeCell ref="H25:I25"/>
  </mergeCells>
  <hyperlinks>
    <hyperlink ref="O4" location="I!A1" display="NEXT QUESTION" xr:uid="{00000000-0004-0000-0700-000000000000}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4:N40"/>
  <sheetViews>
    <sheetView showGridLines="0" workbookViewId="0">
      <selection activeCell="H13" sqref="H13"/>
    </sheetView>
  </sheetViews>
  <sheetFormatPr defaultRowHeight="15" x14ac:dyDescent="0.25"/>
  <cols>
    <col min="2" max="2" width="15.42578125" customWidth="1"/>
    <col min="3" max="3" width="13.140625" style="4" bestFit="1" customWidth="1"/>
    <col min="4" max="4" width="15.42578125" style="4" bestFit="1" customWidth="1"/>
    <col min="5" max="5" width="12.5703125" style="4" bestFit="1" customWidth="1"/>
    <col min="6" max="6" width="15.28515625" bestFit="1" customWidth="1"/>
    <col min="7" max="7" width="14.85546875" bestFit="1" customWidth="1"/>
    <col min="8" max="8" width="15.28515625" bestFit="1" customWidth="1"/>
    <col min="9" max="9" width="14.85546875" bestFit="1" customWidth="1"/>
    <col min="10" max="10" width="17.7109375" bestFit="1" customWidth="1"/>
    <col min="11" max="11" width="18" bestFit="1" customWidth="1"/>
    <col min="12" max="20" width="3" bestFit="1" customWidth="1"/>
    <col min="21" max="21" width="11.28515625" bestFit="1" customWidth="1"/>
  </cols>
  <sheetData>
    <row r="4" spans="1:14" x14ac:dyDescent="0.25">
      <c r="A4" t="s">
        <v>1221</v>
      </c>
      <c r="L4" s="7" t="s">
        <v>9</v>
      </c>
      <c r="N4" s="7" t="s">
        <v>9</v>
      </c>
    </row>
    <row r="5" spans="1:14" x14ac:dyDescent="0.25">
      <c r="A5" t="s">
        <v>61</v>
      </c>
    </row>
    <row r="7" spans="1:14" x14ac:dyDescent="0.25">
      <c r="B7" s="5" t="s">
        <v>114</v>
      </c>
      <c r="C7" s="5" t="s">
        <v>115</v>
      </c>
      <c r="D7" s="33" t="s">
        <v>116</v>
      </c>
      <c r="E7" s="33" t="s">
        <v>1247</v>
      </c>
    </row>
    <row r="8" spans="1:14" x14ac:dyDescent="0.25">
      <c r="B8" s="6" t="s">
        <v>55</v>
      </c>
      <c r="C8" s="6">
        <v>32</v>
      </c>
      <c r="D8" s="6">
        <f ca="1">RANDBETWEEN(20,30)</f>
        <v>27</v>
      </c>
      <c r="E8" s="6">
        <f ca="1">C8-D8</f>
        <v>5</v>
      </c>
    </row>
    <row r="9" spans="1:14" x14ac:dyDescent="0.25">
      <c r="B9" s="6" t="s">
        <v>55</v>
      </c>
      <c r="C9" s="6">
        <v>34</v>
      </c>
      <c r="D9" s="6">
        <f t="shared" ref="D9:D37" ca="1" si="0">RANDBETWEEN(20,30)</f>
        <v>27</v>
      </c>
      <c r="E9" s="6">
        <f t="shared" ref="E9:E37" ca="1" si="1">C9-D9</f>
        <v>7</v>
      </c>
    </row>
    <row r="10" spans="1:14" x14ac:dyDescent="0.25">
      <c r="B10" s="6" t="s">
        <v>55</v>
      </c>
      <c r="C10" s="6">
        <v>45</v>
      </c>
      <c r="D10" s="6">
        <f t="shared" ca="1" si="0"/>
        <v>20</v>
      </c>
      <c r="E10" s="6">
        <f t="shared" ca="1" si="1"/>
        <v>25</v>
      </c>
    </row>
    <row r="11" spans="1:14" x14ac:dyDescent="0.25">
      <c r="B11" s="6" t="s">
        <v>55</v>
      </c>
      <c r="C11" s="6">
        <v>65</v>
      </c>
      <c r="D11" s="6">
        <f t="shared" ca="1" si="0"/>
        <v>25</v>
      </c>
      <c r="E11" s="6">
        <f t="shared" ca="1" si="1"/>
        <v>40</v>
      </c>
    </row>
    <row r="12" spans="1:14" x14ac:dyDescent="0.25">
      <c r="B12" s="6" t="s">
        <v>55</v>
      </c>
      <c r="C12" s="6">
        <v>65</v>
      </c>
      <c r="D12" s="6">
        <f t="shared" ca="1" si="0"/>
        <v>29</v>
      </c>
      <c r="E12" s="6">
        <f t="shared" ca="1" si="1"/>
        <v>36</v>
      </c>
    </row>
    <row r="13" spans="1:14" x14ac:dyDescent="0.25">
      <c r="B13" s="6" t="s">
        <v>56</v>
      </c>
      <c r="C13" s="6">
        <v>45</v>
      </c>
      <c r="D13" s="6">
        <f t="shared" ca="1" si="0"/>
        <v>24</v>
      </c>
      <c r="E13" s="6">
        <f t="shared" ca="1" si="1"/>
        <v>21</v>
      </c>
    </row>
    <row r="14" spans="1:14" x14ac:dyDescent="0.25">
      <c r="B14" s="6" t="s">
        <v>56</v>
      </c>
      <c r="C14" s="6">
        <v>76</v>
      </c>
      <c r="D14" s="6">
        <f t="shared" ca="1" si="0"/>
        <v>30</v>
      </c>
      <c r="E14" s="6">
        <f t="shared" ca="1" si="1"/>
        <v>46</v>
      </c>
    </row>
    <row r="15" spans="1:14" x14ac:dyDescent="0.25">
      <c r="B15" s="6" t="s">
        <v>56</v>
      </c>
      <c r="C15" s="6">
        <v>65</v>
      </c>
      <c r="D15" s="6">
        <f t="shared" ca="1" si="0"/>
        <v>26</v>
      </c>
      <c r="E15" s="6">
        <f t="shared" ca="1" si="1"/>
        <v>39</v>
      </c>
      <c r="I15" s="94"/>
    </row>
    <row r="16" spans="1:14" x14ac:dyDescent="0.25">
      <c r="B16" s="6" t="s">
        <v>56</v>
      </c>
      <c r="C16" s="6">
        <v>75</v>
      </c>
      <c r="D16" s="6">
        <f t="shared" ca="1" si="0"/>
        <v>27</v>
      </c>
      <c r="E16" s="6">
        <f t="shared" ca="1" si="1"/>
        <v>48</v>
      </c>
    </row>
    <row r="17" spans="2:11" x14ac:dyDescent="0.25">
      <c r="B17" s="6" t="s">
        <v>56</v>
      </c>
      <c r="C17" s="6">
        <v>34</v>
      </c>
      <c r="D17" s="6">
        <f t="shared" ca="1" si="0"/>
        <v>30</v>
      </c>
      <c r="E17" s="6">
        <f t="shared" ca="1" si="1"/>
        <v>4</v>
      </c>
      <c r="H17" s="70" t="s">
        <v>1199</v>
      </c>
      <c r="I17" t="s">
        <v>1245</v>
      </c>
      <c r="J17" t="s">
        <v>1246</v>
      </c>
      <c r="K17" t="s">
        <v>1248</v>
      </c>
    </row>
    <row r="18" spans="2:11" x14ac:dyDescent="0.25">
      <c r="B18" s="6" t="s">
        <v>57</v>
      </c>
      <c r="C18" s="6">
        <v>65</v>
      </c>
      <c r="D18" s="6">
        <f t="shared" ca="1" si="0"/>
        <v>26</v>
      </c>
      <c r="E18" s="6">
        <f t="shared" ca="1" si="1"/>
        <v>39</v>
      </c>
      <c r="H18" s="9" t="s">
        <v>57</v>
      </c>
      <c r="I18" s="94">
        <v>254</v>
      </c>
      <c r="J18" s="94">
        <v>119</v>
      </c>
      <c r="K18" s="94">
        <v>135</v>
      </c>
    </row>
    <row r="19" spans="2:11" x14ac:dyDescent="0.25">
      <c r="B19" s="6" t="s">
        <v>57</v>
      </c>
      <c r="C19" s="6">
        <v>34</v>
      </c>
      <c r="D19" s="6">
        <f t="shared" ca="1" si="0"/>
        <v>29</v>
      </c>
      <c r="E19" s="6">
        <f t="shared" ca="1" si="1"/>
        <v>5</v>
      </c>
      <c r="H19" s="9" t="s">
        <v>56</v>
      </c>
      <c r="I19" s="94">
        <v>295</v>
      </c>
      <c r="J19" s="94">
        <v>115</v>
      </c>
      <c r="K19" s="94">
        <v>180</v>
      </c>
    </row>
    <row r="20" spans="2:11" x14ac:dyDescent="0.25">
      <c r="B20" s="6" t="s">
        <v>57</v>
      </c>
      <c r="C20" s="6">
        <v>76</v>
      </c>
      <c r="D20" s="6">
        <f t="shared" ca="1" si="0"/>
        <v>28</v>
      </c>
      <c r="E20" s="6">
        <f t="shared" ca="1" si="1"/>
        <v>48</v>
      </c>
      <c r="H20" s="9" t="s">
        <v>55</v>
      </c>
      <c r="I20" s="94">
        <v>241</v>
      </c>
      <c r="J20" s="94">
        <v>131</v>
      </c>
      <c r="K20" s="94">
        <v>110</v>
      </c>
    </row>
    <row r="21" spans="2:11" x14ac:dyDescent="0.25">
      <c r="B21" s="6" t="s">
        <v>57</v>
      </c>
      <c r="C21" s="6">
        <v>47</v>
      </c>
      <c r="D21" s="6">
        <f t="shared" ca="1" si="0"/>
        <v>28</v>
      </c>
      <c r="E21" s="6">
        <f t="shared" ca="1" si="1"/>
        <v>19</v>
      </c>
      <c r="H21" s="9" t="s">
        <v>59</v>
      </c>
      <c r="I21" s="94">
        <v>296</v>
      </c>
      <c r="J21" s="94">
        <v>122</v>
      </c>
      <c r="K21" s="94">
        <v>174</v>
      </c>
    </row>
    <row r="22" spans="2:11" x14ac:dyDescent="0.25">
      <c r="B22" s="6" t="s">
        <v>57</v>
      </c>
      <c r="C22" s="6">
        <v>32</v>
      </c>
      <c r="D22" s="6">
        <f t="shared" ca="1" si="0"/>
        <v>29</v>
      </c>
      <c r="E22" s="6">
        <f t="shared" ca="1" si="1"/>
        <v>3</v>
      </c>
      <c r="H22" s="9" t="s">
        <v>60</v>
      </c>
      <c r="I22" s="94">
        <v>190</v>
      </c>
      <c r="J22" s="94">
        <v>127</v>
      </c>
      <c r="K22" s="94">
        <v>63</v>
      </c>
    </row>
    <row r="23" spans="2:11" x14ac:dyDescent="0.25">
      <c r="B23" s="6" t="s">
        <v>58</v>
      </c>
      <c r="C23" s="6">
        <v>23</v>
      </c>
      <c r="D23" s="6">
        <f t="shared" ca="1" si="0"/>
        <v>21</v>
      </c>
      <c r="E23" s="6">
        <f t="shared" ca="1" si="1"/>
        <v>2</v>
      </c>
      <c r="H23" s="9" t="s">
        <v>58</v>
      </c>
      <c r="I23" s="94">
        <v>172</v>
      </c>
      <c r="J23" s="94">
        <v>118</v>
      </c>
      <c r="K23" s="94">
        <v>54</v>
      </c>
    </row>
    <row r="24" spans="2:11" x14ac:dyDescent="0.25">
      <c r="B24" s="6" t="s">
        <v>58</v>
      </c>
      <c r="C24" s="6">
        <v>27</v>
      </c>
      <c r="D24" s="6">
        <f t="shared" ca="1" si="0"/>
        <v>29</v>
      </c>
      <c r="E24" s="6">
        <f t="shared" ca="1" si="1"/>
        <v>-2</v>
      </c>
      <c r="H24" s="9" t="s">
        <v>176</v>
      </c>
      <c r="I24" s="94">
        <v>1448</v>
      </c>
      <c r="J24" s="94">
        <v>732</v>
      </c>
      <c r="K24" s="94">
        <v>716</v>
      </c>
    </row>
    <row r="25" spans="2:11" x14ac:dyDescent="0.25">
      <c r="B25" s="6" t="s">
        <v>58</v>
      </c>
      <c r="C25" s="6">
        <v>34</v>
      </c>
      <c r="D25" s="6">
        <f t="shared" ca="1" si="0"/>
        <v>25</v>
      </c>
      <c r="E25" s="6">
        <f t="shared" ca="1" si="1"/>
        <v>9</v>
      </c>
    </row>
    <row r="26" spans="2:11" x14ac:dyDescent="0.25">
      <c r="B26" s="6" t="s">
        <v>58</v>
      </c>
      <c r="C26" s="6">
        <v>43</v>
      </c>
      <c r="D26" s="6">
        <f t="shared" ca="1" si="0"/>
        <v>24</v>
      </c>
      <c r="E26" s="6">
        <f t="shared" ca="1" si="1"/>
        <v>19</v>
      </c>
    </row>
    <row r="27" spans="2:11" x14ac:dyDescent="0.25">
      <c r="B27" s="6" t="s">
        <v>58</v>
      </c>
      <c r="C27" s="6">
        <v>45</v>
      </c>
      <c r="D27" s="6">
        <f t="shared" ca="1" si="0"/>
        <v>24</v>
      </c>
      <c r="E27" s="6">
        <f t="shared" ca="1" si="1"/>
        <v>21</v>
      </c>
    </row>
    <row r="28" spans="2:11" x14ac:dyDescent="0.25">
      <c r="B28" s="6" t="s">
        <v>59</v>
      </c>
      <c r="C28" s="6">
        <v>76</v>
      </c>
      <c r="D28" s="6">
        <f t="shared" ca="1" si="0"/>
        <v>24</v>
      </c>
      <c r="E28" s="6">
        <f t="shared" ca="1" si="1"/>
        <v>52</v>
      </c>
    </row>
    <row r="29" spans="2:11" x14ac:dyDescent="0.25">
      <c r="B29" s="6" t="s">
        <v>59</v>
      </c>
      <c r="C29" s="6">
        <v>65</v>
      </c>
      <c r="D29" s="6">
        <f t="shared" ca="1" si="0"/>
        <v>22</v>
      </c>
      <c r="E29" s="6">
        <f t="shared" ca="1" si="1"/>
        <v>43</v>
      </c>
    </row>
    <row r="30" spans="2:11" x14ac:dyDescent="0.25">
      <c r="B30" s="6" t="s">
        <v>59</v>
      </c>
      <c r="C30" s="6">
        <v>25</v>
      </c>
      <c r="D30" s="6">
        <f t="shared" ca="1" si="0"/>
        <v>22</v>
      </c>
      <c r="E30" s="6">
        <f t="shared" ca="1" si="1"/>
        <v>3</v>
      </c>
    </row>
    <row r="31" spans="2:11" x14ac:dyDescent="0.25">
      <c r="B31" s="6" t="s">
        <v>59</v>
      </c>
      <c r="C31" s="6">
        <v>76</v>
      </c>
      <c r="D31" s="6">
        <f t="shared" ca="1" si="0"/>
        <v>20</v>
      </c>
      <c r="E31" s="6">
        <f t="shared" ca="1" si="1"/>
        <v>56</v>
      </c>
    </row>
    <row r="32" spans="2:11" x14ac:dyDescent="0.25">
      <c r="B32" s="6" t="s">
        <v>59</v>
      </c>
      <c r="C32" s="6">
        <v>54</v>
      </c>
      <c r="D32" s="6">
        <f t="shared" ca="1" si="0"/>
        <v>26</v>
      </c>
      <c r="E32" s="6">
        <f t="shared" ca="1" si="1"/>
        <v>28</v>
      </c>
    </row>
    <row r="33" spans="1:5" x14ac:dyDescent="0.25">
      <c r="B33" s="6" t="s">
        <v>60</v>
      </c>
      <c r="C33" s="6">
        <v>12</v>
      </c>
      <c r="D33" s="6">
        <f t="shared" ca="1" si="0"/>
        <v>28</v>
      </c>
      <c r="E33" s="6">
        <f t="shared" ca="1" si="1"/>
        <v>-16</v>
      </c>
    </row>
    <row r="34" spans="1:5" x14ac:dyDescent="0.25">
      <c r="B34" s="6" t="s">
        <v>60</v>
      </c>
      <c r="C34" s="6">
        <v>45</v>
      </c>
      <c r="D34" s="6">
        <f t="shared" ca="1" si="0"/>
        <v>29</v>
      </c>
      <c r="E34" s="6">
        <f t="shared" ca="1" si="1"/>
        <v>16</v>
      </c>
    </row>
    <row r="35" spans="1:5" x14ac:dyDescent="0.25">
      <c r="B35" s="6" t="s">
        <v>60</v>
      </c>
      <c r="C35" s="6">
        <v>56</v>
      </c>
      <c r="D35" s="6">
        <f t="shared" ca="1" si="0"/>
        <v>21</v>
      </c>
      <c r="E35" s="6">
        <f t="shared" ca="1" si="1"/>
        <v>35</v>
      </c>
    </row>
    <row r="36" spans="1:5" x14ac:dyDescent="0.25">
      <c r="B36" s="6" t="s">
        <v>60</v>
      </c>
      <c r="C36" s="6">
        <v>34</v>
      </c>
      <c r="D36" s="6">
        <f t="shared" ca="1" si="0"/>
        <v>30</v>
      </c>
      <c r="E36" s="6">
        <f t="shared" ca="1" si="1"/>
        <v>4</v>
      </c>
    </row>
    <row r="37" spans="1:5" x14ac:dyDescent="0.25">
      <c r="B37" s="6" t="s">
        <v>60</v>
      </c>
      <c r="C37" s="6">
        <v>43</v>
      </c>
      <c r="D37" s="6">
        <f t="shared" ca="1" si="0"/>
        <v>30</v>
      </c>
      <c r="E37" s="6">
        <f t="shared" ca="1" si="1"/>
        <v>13</v>
      </c>
    </row>
    <row r="40" spans="1:5" x14ac:dyDescent="0.25">
      <c r="A40" s="9"/>
      <c r="C40"/>
      <c r="D40"/>
      <c r="E40"/>
    </row>
  </sheetData>
  <hyperlinks>
    <hyperlink ref="N4" location="J!A1" display="NEXT QUESTION" xr:uid="{00000000-0004-0000-0800-000000000000}"/>
    <hyperlink ref="L4" location="J!A1" display="NEXT QUESTION" xr:uid="{5F625918-4A4F-4999-ABE8-191211AD46E7}"/>
  </hyperlinks>
  <pageMargins left="0.7" right="0.7" top="0.75" bottom="0.75" header="0.3" footer="0.3"/>
  <pageSetup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4:O15"/>
  <sheetViews>
    <sheetView showGridLines="0" topLeftCell="B1" workbookViewId="0">
      <selection activeCell="H18" sqref="H18"/>
    </sheetView>
  </sheetViews>
  <sheetFormatPr defaultRowHeight="15" x14ac:dyDescent="0.25"/>
  <cols>
    <col min="2" max="2" width="10.42578125" customWidth="1"/>
    <col min="3" max="4" width="15.42578125" bestFit="1" customWidth="1"/>
    <col min="5" max="5" width="12.5703125" bestFit="1" customWidth="1"/>
    <col min="7" max="7" width="15.28515625" bestFit="1" customWidth="1"/>
    <col min="8" max="8" width="12.42578125" bestFit="1" customWidth="1"/>
    <col min="9" max="9" width="17.5703125" bestFit="1" customWidth="1"/>
    <col min="10" max="10" width="11.28515625" bestFit="1" customWidth="1"/>
    <col min="11" max="12" width="4" bestFit="1" customWidth="1"/>
    <col min="13" max="13" width="5" bestFit="1" customWidth="1"/>
    <col min="14" max="14" width="11.28515625" bestFit="1" customWidth="1"/>
    <col min="15" max="15" width="9.85546875" bestFit="1" customWidth="1"/>
    <col min="16" max="16" width="11.28515625" bestFit="1" customWidth="1"/>
    <col min="17" max="17" width="8.85546875" bestFit="1" customWidth="1"/>
    <col min="18" max="18" width="6.85546875" bestFit="1" customWidth="1"/>
    <col min="19" max="19" width="9.85546875" bestFit="1" customWidth="1"/>
    <col min="20" max="20" width="11.28515625" bestFit="1" customWidth="1"/>
  </cols>
  <sheetData>
    <row r="4" spans="1:15" x14ac:dyDescent="0.25">
      <c r="O4" s="7" t="s">
        <v>9</v>
      </c>
    </row>
    <row r="5" spans="1:15" x14ac:dyDescent="0.25">
      <c r="A5" t="s">
        <v>1222</v>
      </c>
    </row>
    <row r="6" spans="1:15" x14ac:dyDescent="0.25">
      <c r="A6" t="s">
        <v>119</v>
      </c>
    </row>
    <row r="8" spans="1:15" x14ac:dyDescent="0.25">
      <c r="C8" s="5" t="s">
        <v>50</v>
      </c>
      <c r="D8" s="5" t="s">
        <v>117</v>
      </c>
      <c r="E8" s="5" t="s">
        <v>118</v>
      </c>
      <c r="G8" s="70" t="s">
        <v>1199</v>
      </c>
      <c r="H8" t="s">
        <v>1250</v>
      </c>
      <c r="I8" t="s">
        <v>1249</v>
      </c>
    </row>
    <row r="9" spans="1:15" x14ac:dyDescent="0.25">
      <c r="C9" s="8" t="s">
        <v>57</v>
      </c>
      <c r="D9" s="6">
        <v>225</v>
      </c>
      <c r="E9" s="6">
        <v>350</v>
      </c>
      <c r="G9" s="9" t="s">
        <v>57</v>
      </c>
      <c r="H9" s="94">
        <v>225</v>
      </c>
      <c r="I9" s="94">
        <v>350</v>
      </c>
    </row>
    <row r="10" spans="1:15" x14ac:dyDescent="0.25">
      <c r="C10" s="8" t="s">
        <v>56</v>
      </c>
      <c r="D10" s="6">
        <v>250</v>
      </c>
      <c r="E10" s="6">
        <v>350</v>
      </c>
      <c r="G10" s="9" t="s">
        <v>56</v>
      </c>
      <c r="H10" s="94">
        <v>250</v>
      </c>
      <c r="I10" s="94">
        <v>350</v>
      </c>
    </row>
    <row r="11" spans="1:15" x14ac:dyDescent="0.25">
      <c r="C11" s="8" t="s">
        <v>55</v>
      </c>
      <c r="D11" s="6">
        <v>200</v>
      </c>
      <c r="E11" s="6">
        <v>350</v>
      </c>
      <c r="G11" s="9" t="s">
        <v>55</v>
      </c>
      <c r="H11" s="94">
        <v>200</v>
      </c>
      <c r="I11" s="94">
        <v>350</v>
      </c>
    </row>
    <row r="12" spans="1:15" x14ac:dyDescent="0.25">
      <c r="C12" s="8" t="s">
        <v>59</v>
      </c>
      <c r="D12" s="6">
        <v>300</v>
      </c>
      <c r="E12" s="6">
        <v>350</v>
      </c>
      <c r="G12" s="9" t="s">
        <v>59</v>
      </c>
      <c r="H12" s="94">
        <v>300</v>
      </c>
      <c r="I12" s="94">
        <v>350</v>
      </c>
    </row>
    <row r="13" spans="1:15" x14ac:dyDescent="0.25">
      <c r="C13" s="8" t="s">
        <v>60</v>
      </c>
      <c r="D13" s="6">
        <v>250</v>
      </c>
      <c r="E13" s="6">
        <v>350</v>
      </c>
      <c r="G13" s="9" t="s">
        <v>60</v>
      </c>
      <c r="H13" s="94">
        <v>250</v>
      </c>
      <c r="I13" s="94">
        <v>350</v>
      </c>
    </row>
    <row r="14" spans="1:15" x14ac:dyDescent="0.25">
      <c r="C14" s="8" t="s">
        <v>58</v>
      </c>
      <c r="D14" s="6">
        <v>175</v>
      </c>
      <c r="E14" s="6">
        <v>350</v>
      </c>
      <c r="G14" s="9" t="s">
        <v>58</v>
      </c>
      <c r="H14" s="94">
        <v>175</v>
      </c>
      <c r="I14" s="94">
        <v>350</v>
      </c>
    </row>
    <row r="15" spans="1:15" x14ac:dyDescent="0.25">
      <c r="C15" s="27" t="s">
        <v>31</v>
      </c>
      <c r="D15" s="34">
        <f t="shared" ref="D15:E15" si="0">SUM(D9:D14)</f>
        <v>1400</v>
      </c>
      <c r="E15" s="34">
        <f t="shared" si="0"/>
        <v>2100</v>
      </c>
      <c r="G15" s="9" t="s">
        <v>176</v>
      </c>
      <c r="H15" s="94">
        <v>1400</v>
      </c>
      <c r="I15" s="94">
        <v>2100</v>
      </c>
    </row>
  </sheetData>
  <hyperlinks>
    <hyperlink ref="O4" location="K!A1" display="NEXT QUESTION" xr:uid="{00000000-0004-0000-0900-000000000000}"/>
  </hyperlinks>
  <pageMargins left="0.7" right="0.7" top="0.75" bottom="0.7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4:V20"/>
  <sheetViews>
    <sheetView showGridLines="0" workbookViewId="0">
      <selection activeCell="G12" sqref="G12"/>
    </sheetView>
  </sheetViews>
  <sheetFormatPr defaultRowHeight="15" x14ac:dyDescent="0.25"/>
  <cols>
    <col min="2" max="2" width="17.42578125" bestFit="1" customWidth="1"/>
    <col min="4" max="4" width="16.140625" bestFit="1" customWidth="1"/>
    <col min="5" max="5" width="8.85546875" customWidth="1"/>
    <col min="6" max="6" width="8.140625" customWidth="1"/>
    <col min="7" max="7" width="17" customWidth="1"/>
    <col min="8" max="8" width="12.42578125" customWidth="1"/>
  </cols>
  <sheetData>
    <row r="4" spans="1:22" x14ac:dyDescent="0.25">
      <c r="N4" s="7" t="s">
        <v>9</v>
      </c>
    </row>
    <row r="5" spans="1:22" x14ac:dyDescent="0.25">
      <c r="A5" t="s">
        <v>1223</v>
      </c>
    </row>
    <row r="6" spans="1:22" ht="15.75" thickBot="1" x14ac:dyDescent="0.3">
      <c r="U6" t="s">
        <v>138</v>
      </c>
      <c r="V6" t="s">
        <v>132</v>
      </c>
    </row>
    <row r="7" spans="1:22" ht="15.75" thickBot="1" x14ac:dyDescent="0.3">
      <c r="B7" s="37" t="s">
        <v>145</v>
      </c>
      <c r="C7" s="37" t="s">
        <v>146</v>
      </c>
      <c r="D7" s="25"/>
      <c r="E7" s="26"/>
      <c r="G7" s="23"/>
      <c r="H7" s="4"/>
      <c r="U7" t="s">
        <v>133</v>
      </c>
      <c r="V7" t="s">
        <v>135</v>
      </c>
    </row>
    <row r="8" spans="1:22" ht="15.75" thickBot="1" x14ac:dyDescent="0.3">
      <c r="B8" s="37" t="s">
        <v>139</v>
      </c>
      <c r="C8" s="37" t="s">
        <v>143</v>
      </c>
      <c r="D8" s="4"/>
      <c r="E8" t="s">
        <v>131</v>
      </c>
      <c r="F8" t="s">
        <v>139</v>
      </c>
      <c r="G8" s="24"/>
      <c r="H8" s="4"/>
      <c r="U8" t="s">
        <v>134</v>
      </c>
      <c r="V8" t="s">
        <v>136</v>
      </c>
    </row>
    <row r="9" spans="1:22" x14ac:dyDescent="0.25">
      <c r="D9" s="4"/>
      <c r="E9" t="s">
        <v>133</v>
      </c>
      <c r="F9" t="s">
        <v>135</v>
      </c>
      <c r="G9" s="23"/>
      <c r="H9" s="4"/>
      <c r="V9" t="s">
        <v>137</v>
      </c>
    </row>
    <row r="10" spans="1:22" x14ac:dyDescent="0.25">
      <c r="D10" s="4"/>
      <c r="E10" t="s">
        <v>134</v>
      </c>
      <c r="F10" t="s">
        <v>136</v>
      </c>
    </row>
    <row r="11" spans="1:22" x14ac:dyDescent="0.25">
      <c r="D11" s="4"/>
      <c r="E11" t="s">
        <v>140</v>
      </c>
      <c r="F11" t="s">
        <v>143</v>
      </c>
    </row>
    <row r="12" spans="1:22" x14ac:dyDescent="0.25">
      <c r="D12" s="4"/>
      <c r="E12" t="s">
        <v>141</v>
      </c>
      <c r="F12" t="s">
        <v>137</v>
      </c>
    </row>
    <row r="13" spans="1:22" x14ac:dyDescent="0.25">
      <c r="B13" s="29" t="s">
        <v>151</v>
      </c>
      <c r="D13" s="4"/>
      <c r="E13" t="s">
        <v>142</v>
      </c>
      <c r="F13" t="s">
        <v>144</v>
      </c>
    </row>
    <row r="14" spans="1:22" x14ac:dyDescent="0.25">
      <c r="D14" s="4"/>
    </row>
    <row r="15" spans="1:22" x14ac:dyDescent="0.25">
      <c r="D15" s="4"/>
    </row>
    <row r="16" spans="1:22" x14ac:dyDescent="0.25">
      <c r="D16" s="4"/>
    </row>
    <row r="17" spans="4:4" x14ac:dyDescent="0.25">
      <c r="D17" s="4"/>
    </row>
    <row r="18" spans="4:4" x14ac:dyDescent="0.25">
      <c r="D18" s="4"/>
    </row>
    <row r="19" spans="4:4" x14ac:dyDescent="0.25">
      <c r="D19" s="4"/>
    </row>
    <row r="20" spans="4:4" x14ac:dyDescent="0.25">
      <c r="D20" s="4"/>
    </row>
  </sheetData>
  <dataValidations count="4">
    <dataValidation type="custom" allowBlank="1" showInputMessage="1" showErrorMessage="1" sqref="S17" xr:uid="{00000000-0002-0000-0A00-000000000000}">
      <formula1>IF(R17="US","US","INDIA")</formula1>
    </dataValidation>
    <dataValidation type="list" allowBlank="1" showInputMessage="1" showErrorMessage="1" sqref="E9:E13 F9:F13" xr:uid="{3FB4356E-1736-4A4D-A387-3A5128D88C76}">
      <formula1>$C$8</formula1>
    </dataValidation>
    <dataValidation type="list" allowBlank="1" showInputMessage="1" showErrorMessage="1" sqref="B8" xr:uid="{DE64976F-4791-4BD8-BCCF-137E70660922}">
      <formula1>$E$8:$F$8</formula1>
    </dataValidation>
    <dataValidation type="list" allowBlank="1" showInputMessage="1" showErrorMessage="1" sqref="C8" xr:uid="{B9CB1E16-9FCD-4E2E-9451-E43F522641E7}">
      <formula1>INDIRECT($B$8)</formula1>
    </dataValidation>
  </dataValidations>
  <hyperlinks>
    <hyperlink ref="N4" location="L!A1" display="NEXT QUESTION" xr:uid="{00000000-0004-0000-0A00-000000000000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5:M30"/>
  <sheetViews>
    <sheetView showGridLines="0" showRowColHeaders="0" topLeftCell="A7" zoomScaleNormal="100" workbookViewId="0">
      <selection activeCell="I17" sqref="I17"/>
    </sheetView>
  </sheetViews>
  <sheetFormatPr defaultColWidth="9.140625" defaultRowHeight="15" x14ac:dyDescent="0.25"/>
  <cols>
    <col min="3" max="3" width="15.140625" customWidth="1"/>
    <col min="4" max="4" width="4.85546875" customWidth="1"/>
    <col min="5" max="5" width="7.85546875" customWidth="1"/>
    <col min="6" max="6" width="11.140625" customWidth="1"/>
    <col min="7" max="8" width="14.140625" customWidth="1"/>
    <col min="9" max="9" width="13.140625" bestFit="1" customWidth="1"/>
    <col min="10" max="10" width="21.85546875" bestFit="1" customWidth="1"/>
    <col min="11" max="11" width="11.140625" bestFit="1" customWidth="1"/>
    <col min="12" max="12" width="14.42578125" bestFit="1" customWidth="1"/>
    <col min="13" max="13" width="17.85546875" bestFit="1" customWidth="1"/>
    <col min="14" max="14" width="3.5703125" bestFit="1" customWidth="1"/>
    <col min="15" max="15" width="11.28515625" bestFit="1" customWidth="1"/>
    <col min="16" max="16" width="4.5703125" bestFit="1" customWidth="1"/>
    <col min="17" max="17" width="9.42578125" bestFit="1" customWidth="1"/>
    <col min="18" max="18" width="4.5703125" bestFit="1" customWidth="1"/>
    <col min="19" max="19" width="9.42578125" bestFit="1" customWidth="1"/>
    <col min="20" max="20" width="4.5703125" bestFit="1" customWidth="1"/>
    <col min="21" max="21" width="9.42578125" bestFit="1" customWidth="1"/>
    <col min="22" max="22" width="11.28515625" bestFit="1" customWidth="1"/>
  </cols>
  <sheetData>
    <row r="5" spans="1:13" x14ac:dyDescent="0.25">
      <c r="M5" s="60" t="s">
        <v>9</v>
      </c>
    </row>
    <row r="6" spans="1:13" x14ac:dyDescent="0.25">
      <c r="A6" s="29" t="s">
        <v>162</v>
      </c>
      <c r="I6" s="29"/>
    </row>
    <row r="8" spans="1:13" x14ac:dyDescent="0.25">
      <c r="B8" s="63" t="s">
        <v>163</v>
      </c>
      <c r="C8" s="63" t="s">
        <v>164</v>
      </c>
      <c r="D8" s="63" t="s">
        <v>165</v>
      </c>
      <c r="E8" s="63" t="s">
        <v>166</v>
      </c>
      <c r="F8" s="63" t="s">
        <v>167</v>
      </c>
    </row>
    <row r="9" spans="1:13" x14ac:dyDescent="0.25">
      <c r="B9" s="6" t="s">
        <v>168</v>
      </c>
      <c r="C9" s="64">
        <v>0.82</v>
      </c>
      <c r="D9" s="64">
        <v>0.08</v>
      </c>
      <c r="E9" s="64">
        <v>0.02</v>
      </c>
      <c r="F9" s="64">
        <f>100%-SUM(C9:E9)</f>
        <v>8.0000000000000071E-2</v>
      </c>
    </row>
    <row r="10" spans="1:13" x14ac:dyDescent="0.25">
      <c r="B10" s="6" t="s">
        <v>169</v>
      </c>
      <c r="C10" s="64">
        <f>C9-14%</f>
        <v>0.67999999999999994</v>
      </c>
      <c r="D10" s="64">
        <v>0.02</v>
      </c>
      <c r="E10" s="64">
        <v>0.02</v>
      </c>
      <c r="F10" s="64">
        <f t="shared" ref="F10:F14" si="0">100%-SUM(C10:E10)</f>
        <v>0.28000000000000003</v>
      </c>
    </row>
    <row r="11" spans="1:13" x14ac:dyDescent="0.25">
      <c r="B11" s="6" t="s">
        <v>170</v>
      </c>
      <c r="C11" s="64">
        <f>C10-14%</f>
        <v>0.53999999999999992</v>
      </c>
      <c r="D11" s="64">
        <v>0.06</v>
      </c>
      <c r="E11" s="64">
        <v>0.02</v>
      </c>
      <c r="F11" s="64">
        <f t="shared" si="0"/>
        <v>0.38000000000000012</v>
      </c>
    </row>
    <row r="12" spans="1:13" x14ac:dyDescent="0.25">
      <c r="B12" s="6" t="s">
        <v>171</v>
      </c>
      <c r="C12" s="64">
        <v>0.66</v>
      </c>
      <c r="D12" s="64">
        <v>0.08</v>
      </c>
      <c r="E12" s="64">
        <v>0.02</v>
      </c>
      <c r="F12" s="64">
        <f t="shared" si="0"/>
        <v>0.24</v>
      </c>
    </row>
    <row r="13" spans="1:13" x14ac:dyDescent="0.25">
      <c r="B13" s="6" t="s">
        <v>172</v>
      </c>
      <c r="C13" s="64">
        <v>0.78</v>
      </c>
      <c r="D13" s="64">
        <v>0.09</v>
      </c>
      <c r="E13" s="64">
        <v>0.02</v>
      </c>
      <c r="F13" s="64">
        <f t="shared" si="0"/>
        <v>0.10999999999999999</v>
      </c>
    </row>
    <row r="14" spans="1:13" x14ac:dyDescent="0.25">
      <c r="B14" s="6" t="s">
        <v>173</v>
      </c>
      <c r="C14" s="64">
        <v>0.91</v>
      </c>
      <c r="D14" s="64">
        <v>0.04</v>
      </c>
      <c r="E14" s="64">
        <v>0.02</v>
      </c>
      <c r="F14" s="64">
        <f t="shared" si="0"/>
        <v>2.9999999999999916E-2</v>
      </c>
    </row>
    <row r="15" spans="1:13" x14ac:dyDescent="0.25">
      <c r="I15" s="65" t="s">
        <v>174</v>
      </c>
    </row>
    <row r="16" spans="1:13" x14ac:dyDescent="0.25">
      <c r="B16" s="65" t="s">
        <v>175</v>
      </c>
      <c r="I16" s="66"/>
      <c r="J16" s="66"/>
      <c r="K16" s="66"/>
      <c r="L16" s="66"/>
      <c r="M16" s="66"/>
    </row>
    <row r="17" spans="2:13" x14ac:dyDescent="0.25">
      <c r="B17" s="29"/>
      <c r="I17" s="70" t="s">
        <v>1199</v>
      </c>
      <c r="J17" t="s">
        <v>1251</v>
      </c>
      <c r="K17" t="s">
        <v>1252</v>
      </c>
      <c r="L17" t="s">
        <v>1253</v>
      </c>
      <c r="M17" t="s">
        <v>1254</v>
      </c>
    </row>
    <row r="18" spans="2:13" x14ac:dyDescent="0.25">
      <c r="I18" s="9" t="s">
        <v>168</v>
      </c>
      <c r="J18" s="94">
        <v>0.82</v>
      </c>
      <c r="K18" s="94">
        <v>0.08</v>
      </c>
      <c r="L18" s="94">
        <v>0.02</v>
      </c>
      <c r="M18" s="94">
        <v>8.0000000000000071E-2</v>
      </c>
    </row>
    <row r="19" spans="2:13" x14ac:dyDescent="0.25">
      <c r="I19" s="9" t="s">
        <v>169</v>
      </c>
      <c r="J19" s="94">
        <v>0.67999999999999994</v>
      </c>
      <c r="K19" s="94">
        <v>0.02</v>
      </c>
      <c r="L19" s="94">
        <v>0.02</v>
      </c>
      <c r="M19" s="94">
        <v>0.28000000000000003</v>
      </c>
    </row>
    <row r="20" spans="2:13" x14ac:dyDescent="0.25">
      <c r="I20" s="9" t="s">
        <v>170</v>
      </c>
      <c r="J20" s="94">
        <v>0.53999999999999992</v>
      </c>
      <c r="K20" s="94">
        <v>0.06</v>
      </c>
      <c r="L20" s="94">
        <v>0.02</v>
      </c>
      <c r="M20" s="94">
        <v>0.38000000000000012</v>
      </c>
    </row>
    <row r="21" spans="2:13" x14ac:dyDescent="0.25">
      <c r="I21" s="9" t="s">
        <v>171</v>
      </c>
      <c r="J21" s="94">
        <v>0.66</v>
      </c>
      <c r="K21" s="94">
        <v>0.08</v>
      </c>
      <c r="L21" s="94">
        <v>0.02</v>
      </c>
      <c r="M21" s="94">
        <v>0.24</v>
      </c>
    </row>
    <row r="22" spans="2:13" x14ac:dyDescent="0.25">
      <c r="I22" s="9" t="s">
        <v>172</v>
      </c>
      <c r="J22" s="94">
        <v>0.78</v>
      </c>
      <c r="K22" s="94">
        <v>0.09</v>
      </c>
      <c r="L22" s="94">
        <v>0.02</v>
      </c>
      <c r="M22" s="94">
        <v>0.10999999999999999</v>
      </c>
    </row>
    <row r="23" spans="2:13" x14ac:dyDescent="0.25">
      <c r="I23" s="9" t="s">
        <v>173</v>
      </c>
      <c r="J23" s="94">
        <v>0.91</v>
      </c>
      <c r="K23" s="94">
        <v>0.04</v>
      </c>
      <c r="L23" s="94">
        <v>0.02</v>
      </c>
      <c r="M23" s="94">
        <v>2.9999999999999916E-2</v>
      </c>
    </row>
    <row r="24" spans="2:13" x14ac:dyDescent="0.25">
      <c r="I24" s="9" t="s">
        <v>176</v>
      </c>
      <c r="J24" s="94">
        <v>4.3900000000000006</v>
      </c>
      <c r="K24" s="94">
        <v>0.36999999999999994</v>
      </c>
      <c r="L24" s="94">
        <v>0.12000000000000001</v>
      </c>
      <c r="M24" s="94">
        <v>1.1200000000000001</v>
      </c>
    </row>
    <row r="25" spans="2:13" x14ac:dyDescent="0.25">
      <c r="B25" s="29"/>
    </row>
    <row r="27" spans="2:13" x14ac:dyDescent="0.25">
      <c r="L27" s="66"/>
      <c r="M27" s="66"/>
    </row>
    <row r="28" spans="2:13" x14ac:dyDescent="0.25">
      <c r="L28" s="66"/>
      <c r="M28" s="66"/>
    </row>
    <row r="29" spans="2:13" x14ac:dyDescent="0.25">
      <c r="L29" s="66"/>
      <c r="M29" s="66"/>
    </row>
    <row r="30" spans="2:13" x14ac:dyDescent="0.25">
      <c r="L30" s="66"/>
      <c r="M30" s="66"/>
    </row>
  </sheetData>
  <hyperlinks>
    <hyperlink ref="M5" location="N!A1" display="NEXT QUESTION" xr:uid="{00000000-0004-0000-0C00-000000000000}"/>
  </hyperlinks>
  <pageMargins left="0.7" right="0.7" top="0.75" bottom="0.75" header="0.3" footer="0.3"/>
  <pageSetup paperSize="9" scale="21"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1AAAC-6352-4A64-9B33-5608DE1CCA59}">
  <dimension ref="A1:H65"/>
  <sheetViews>
    <sheetView workbookViewId="0">
      <selection activeCell="K8" sqref="K8"/>
    </sheetView>
  </sheetViews>
  <sheetFormatPr defaultRowHeight="15" x14ac:dyDescent="0.25"/>
  <cols>
    <col min="1" max="1" width="9.42578125" bestFit="1" customWidth="1"/>
    <col min="2" max="2" width="8.140625" bestFit="1" customWidth="1"/>
    <col min="3" max="3" width="6.85546875" bestFit="1" customWidth="1"/>
    <col min="4" max="4" width="11.42578125" bestFit="1" customWidth="1"/>
    <col min="5" max="5" width="7.42578125" bestFit="1" customWidth="1"/>
    <col min="6" max="6" width="4.85546875" bestFit="1" customWidth="1"/>
    <col min="7" max="7" width="5.140625" bestFit="1" customWidth="1"/>
    <col min="8" max="8" width="6.85546875" bestFit="1" customWidth="1"/>
  </cols>
  <sheetData>
    <row r="1" spans="1:8" ht="15.75" thickBot="1" x14ac:dyDescent="0.3">
      <c r="A1" s="74" t="s">
        <v>1231</v>
      </c>
      <c r="B1" s="75" t="s">
        <v>1232</v>
      </c>
      <c r="C1" s="75" t="s">
        <v>152</v>
      </c>
      <c r="D1" s="75" t="s">
        <v>1233</v>
      </c>
      <c r="E1" s="75" t="s">
        <v>1234</v>
      </c>
      <c r="F1" s="75" t="s">
        <v>1235</v>
      </c>
      <c r="G1" s="75" t="s">
        <v>1236</v>
      </c>
      <c r="H1" s="75" t="s">
        <v>31</v>
      </c>
    </row>
    <row r="2" spans="1:8" ht="15.75" thickTop="1" x14ac:dyDescent="0.25">
      <c r="A2" s="76">
        <v>43468</v>
      </c>
      <c r="B2" s="77" t="s">
        <v>1200</v>
      </c>
      <c r="C2" s="77" t="s">
        <v>155</v>
      </c>
      <c r="D2" s="77" t="s">
        <v>1237</v>
      </c>
      <c r="E2" s="77" t="s">
        <v>1201</v>
      </c>
      <c r="F2" s="77">
        <v>4.99</v>
      </c>
      <c r="G2" s="77">
        <v>50</v>
      </c>
      <c r="H2" s="77">
        <v>249.5</v>
      </c>
    </row>
    <row r="3" spans="1:8" x14ac:dyDescent="0.25">
      <c r="A3" s="78">
        <v>43472</v>
      </c>
      <c r="B3" s="79" t="s">
        <v>1200</v>
      </c>
      <c r="C3" s="79" t="s">
        <v>155</v>
      </c>
      <c r="D3" s="79" t="s">
        <v>1237</v>
      </c>
      <c r="E3" s="79" t="s">
        <v>1201</v>
      </c>
      <c r="F3" s="79">
        <v>4.99</v>
      </c>
      <c r="G3" s="79">
        <v>27</v>
      </c>
      <c r="H3" s="79">
        <v>134.73000000000002</v>
      </c>
    </row>
    <row r="4" spans="1:8" x14ac:dyDescent="0.25">
      <c r="A4" s="80">
        <v>43489</v>
      </c>
      <c r="B4" s="81" t="s">
        <v>1200</v>
      </c>
      <c r="C4" s="81" t="s">
        <v>155</v>
      </c>
      <c r="D4" s="81" t="s">
        <v>1238</v>
      </c>
      <c r="E4" s="81" t="s">
        <v>1201</v>
      </c>
      <c r="F4" s="81">
        <v>4.99</v>
      </c>
      <c r="G4" s="81">
        <v>81</v>
      </c>
      <c r="H4" s="81">
        <v>404.19</v>
      </c>
    </row>
    <row r="5" spans="1:8" x14ac:dyDescent="0.25">
      <c r="A5" s="78">
        <v>43511</v>
      </c>
      <c r="B5" s="79" t="s">
        <v>1206</v>
      </c>
      <c r="C5" s="79" t="s">
        <v>153</v>
      </c>
      <c r="D5" s="79" t="s">
        <v>1238</v>
      </c>
      <c r="E5" s="79" t="s">
        <v>1201</v>
      </c>
      <c r="F5" s="79">
        <v>4.99</v>
      </c>
      <c r="G5" s="79">
        <v>46</v>
      </c>
      <c r="H5" s="79">
        <v>229.54000000000002</v>
      </c>
    </row>
    <row r="6" spans="1:8" x14ac:dyDescent="0.25">
      <c r="A6" s="80">
        <v>43517</v>
      </c>
      <c r="B6" s="81" t="s">
        <v>1206</v>
      </c>
      <c r="C6" s="81" t="s">
        <v>153</v>
      </c>
      <c r="D6" s="81" t="s">
        <v>1237</v>
      </c>
      <c r="E6" s="81" t="s">
        <v>1201</v>
      </c>
      <c r="F6" s="81">
        <v>4.99</v>
      </c>
      <c r="G6" s="81">
        <v>87</v>
      </c>
      <c r="H6" s="81">
        <v>434.13</v>
      </c>
    </row>
    <row r="7" spans="1:8" x14ac:dyDescent="0.25">
      <c r="A7" s="78">
        <v>43530</v>
      </c>
      <c r="B7" s="79" t="s">
        <v>1206</v>
      </c>
      <c r="C7" s="79" t="s">
        <v>153</v>
      </c>
      <c r="D7" s="79" t="s">
        <v>1237</v>
      </c>
      <c r="E7" s="79" t="s">
        <v>1201</v>
      </c>
      <c r="F7" s="79">
        <v>4.99</v>
      </c>
      <c r="G7" s="79">
        <v>80</v>
      </c>
      <c r="H7" s="79">
        <v>399.20000000000005</v>
      </c>
    </row>
    <row r="8" spans="1:8" x14ac:dyDescent="0.25">
      <c r="A8" s="80">
        <v>43469</v>
      </c>
      <c r="B8" s="81" t="s">
        <v>1207</v>
      </c>
      <c r="C8" s="81" t="s">
        <v>154</v>
      </c>
      <c r="D8" s="81" t="s">
        <v>1237</v>
      </c>
      <c r="E8" s="81" t="s">
        <v>1201</v>
      </c>
      <c r="F8" s="81">
        <v>4.99</v>
      </c>
      <c r="G8" s="81">
        <v>60</v>
      </c>
      <c r="H8" s="81">
        <v>299.40000000000003</v>
      </c>
    </row>
    <row r="9" spans="1:8" x14ac:dyDescent="0.25">
      <c r="A9" s="78">
        <v>43480</v>
      </c>
      <c r="B9" s="79" t="s">
        <v>1207</v>
      </c>
      <c r="C9" s="79" t="s">
        <v>154</v>
      </c>
      <c r="D9" s="79" t="s">
        <v>1239</v>
      </c>
      <c r="E9" s="79" t="s">
        <v>1201</v>
      </c>
      <c r="F9" s="79">
        <v>4.99</v>
      </c>
      <c r="G9" s="79">
        <v>60</v>
      </c>
      <c r="H9" s="79">
        <v>299.40000000000003</v>
      </c>
    </row>
    <row r="10" spans="1:8" x14ac:dyDescent="0.25">
      <c r="A10" s="80">
        <v>43483</v>
      </c>
      <c r="B10" s="81" t="s">
        <v>1207</v>
      </c>
      <c r="C10" s="81" t="s">
        <v>154</v>
      </c>
      <c r="D10" s="81" t="s">
        <v>1240</v>
      </c>
      <c r="E10" s="81" t="s">
        <v>1201</v>
      </c>
      <c r="F10" s="81">
        <v>4.99</v>
      </c>
      <c r="G10" s="81">
        <v>29</v>
      </c>
      <c r="H10" s="81">
        <v>144.71</v>
      </c>
    </row>
    <row r="11" spans="1:8" x14ac:dyDescent="0.25">
      <c r="A11" s="78">
        <v>43521</v>
      </c>
      <c r="B11" s="79" t="s">
        <v>1207</v>
      </c>
      <c r="C11" s="79" t="s">
        <v>154</v>
      </c>
      <c r="D11" s="79" t="s">
        <v>1237</v>
      </c>
      <c r="E11" s="79" t="s">
        <v>1201</v>
      </c>
      <c r="F11" s="79">
        <v>4.99</v>
      </c>
      <c r="G11" s="79">
        <v>4</v>
      </c>
      <c r="H11" s="79">
        <v>19.96</v>
      </c>
    </row>
    <row r="12" spans="1:8" x14ac:dyDescent="0.25">
      <c r="A12" s="80">
        <v>43495</v>
      </c>
      <c r="B12" s="81" t="s">
        <v>1208</v>
      </c>
      <c r="C12" s="81" t="s">
        <v>153</v>
      </c>
      <c r="D12" s="81" t="s">
        <v>1237</v>
      </c>
      <c r="E12" s="81" t="s">
        <v>1201</v>
      </c>
      <c r="F12" s="81">
        <v>4.99</v>
      </c>
      <c r="G12" s="81">
        <v>28</v>
      </c>
      <c r="H12" s="81">
        <v>139.72</v>
      </c>
    </row>
    <row r="13" spans="1:8" x14ac:dyDescent="0.25">
      <c r="A13" s="78">
        <v>43503</v>
      </c>
      <c r="B13" s="79" t="s">
        <v>1209</v>
      </c>
      <c r="C13" s="79" t="s">
        <v>154</v>
      </c>
      <c r="D13" s="79" t="s">
        <v>1240</v>
      </c>
      <c r="E13" s="79" t="s">
        <v>1201</v>
      </c>
      <c r="F13" s="79">
        <v>4.99</v>
      </c>
      <c r="G13" s="79">
        <v>71</v>
      </c>
      <c r="H13" s="79">
        <v>354.29</v>
      </c>
    </row>
    <row r="14" spans="1:8" x14ac:dyDescent="0.25">
      <c r="A14" s="80">
        <v>43546</v>
      </c>
      <c r="B14" s="81" t="s">
        <v>1209</v>
      </c>
      <c r="C14" s="81" t="s">
        <v>154</v>
      </c>
      <c r="D14" s="81" t="s">
        <v>1238</v>
      </c>
      <c r="E14" s="81" t="s">
        <v>1201</v>
      </c>
      <c r="F14" s="81">
        <v>4.99</v>
      </c>
      <c r="G14" s="81">
        <v>70</v>
      </c>
      <c r="H14" s="81">
        <v>349.3</v>
      </c>
    </row>
    <row r="15" spans="1:8" x14ac:dyDescent="0.25">
      <c r="A15" s="78">
        <v>43522</v>
      </c>
      <c r="B15" s="79" t="s">
        <v>1210</v>
      </c>
      <c r="C15" s="79" t="s">
        <v>155</v>
      </c>
      <c r="D15" s="79" t="s">
        <v>1237</v>
      </c>
      <c r="E15" s="79" t="s">
        <v>1201</v>
      </c>
      <c r="F15" s="79">
        <v>4.99</v>
      </c>
      <c r="G15" s="79">
        <v>7</v>
      </c>
      <c r="H15" s="79">
        <v>34.93</v>
      </c>
    </row>
    <row r="16" spans="1:8" x14ac:dyDescent="0.25">
      <c r="A16" s="80">
        <v>43523</v>
      </c>
      <c r="B16" s="81" t="s">
        <v>1210</v>
      </c>
      <c r="C16" s="81" t="s">
        <v>155</v>
      </c>
      <c r="D16" s="81" t="s">
        <v>1239</v>
      </c>
      <c r="E16" s="81" t="s">
        <v>1201</v>
      </c>
      <c r="F16" s="81">
        <v>4.99</v>
      </c>
      <c r="G16" s="81">
        <v>86</v>
      </c>
      <c r="H16" s="81">
        <v>429.14000000000004</v>
      </c>
    </row>
    <row r="17" spans="1:8" x14ac:dyDescent="0.25">
      <c r="A17" s="78">
        <v>43481</v>
      </c>
      <c r="B17" s="79" t="s">
        <v>1200</v>
      </c>
      <c r="C17" s="79" t="s">
        <v>155</v>
      </c>
      <c r="D17" s="79" t="s">
        <v>1237</v>
      </c>
      <c r="E17" s="79" t="s">
        <v>1202</v>
      </c>
      <c r="F17" s="79">
        <v>275</v>
      </c>
      <c r="G17" s="79">
        <v>2</v>
      </c>
      <c r="H17" s="79">
        <v>550</v>
      </c>
    </row>
    <row r="18" spans="1:8" x14ac:dyDescent="0.25">
      <c r="A18" s="80">
        <v>43510</v>
      </c>
      <c r="B18" s="81" t="s">
        <v>1200</v>
      </c>
      <c r="C18" s="81" t="s">
        <v>155</v>
      </c>
      <c r="D18" s="81" t="s">
        <v>1237</v>
      </c>
      <c r="E18" s="81" t="s">
        <v>1202</v>
      </c>
      <c r="F18" s="81">
        <v>275</v>
      </c>
      <c r="G18" s="81">
        <v>5</v>
      </c>
      <c r="H18" s="81">
        <v>1375</v>
      </c>
    </row>
    <row r="19" spans="1:8" x14ac:dyDescent="0.25">
      <c r="A19" s="78">
        <v>43549</v>
      </c>
      <c r="B19" s="79" t="s">
        <v>1200</v>
      </c>
      <c r="C19" s="79" t="s">
        <v>155</v>
      </c>
      <c r="D19" s="79" t="s">
        <v>1240</v>
      </c>
      <c r="E19" s="79" t="s">
        <v>1202</v>
      </c>
      <c r="F19" s="79">
        <v>275</v>
      </c>
      <c r="G19" s="79">
        <v>4</v>
      </c>
      <c r="H19" s="79">
        <v>1100</v>
      </c>
    </row>
    <row r="20" spans="1:8" x14ac:dyDescent="0.25">
      <c r="A20" s="80">
        <v>43490</v>
      </c>
      <c r="B20" s="81" t="s">
        <v>1206</v>
      </c>
      <c r="C20" s="81" t="s">
        <v>153</v>
      </c>
      <c r="D20" s="81" t="s">
        <v>1237</v>
      </c>
      <c r="E20" s="81" t="s">
        <v>1202</v>
      </c>
      <c r="F20" s="81">
        <v>275</v>
      </c>
      <c r="G20" s="81">
        <v>2</v>
      </c>
      <c r="H20" s="81">
        <v>550</v>
      </c>
    </row>
    <row r="21" spans="1:8" x14ac:dyDescent="0.25">
      <c r="A21" s="78">
        <v>43516</v>
      </c>
      <c r="B21" s="79" t="s">
        <v>1206</v>
      </c>
      <c r="C21" s="79" t="s">
        <v>153</v>
      </c>
      <c r="D21" s="79" t="s">
        <v>1239</v>
      </c>
      <c r="E21" s="79" t="s">
        <v>1202</v>
      </c>
      <c r="F21" s="79">
        <v>275</v>
      </c>
      <c r="G21" s="79">
        <v>1</v>
      </c>
      <c r="H21" s="79">
        <v>275</v>
      </c>
    </row>
    <row r="22" spans="1:8" x14ac:dyDescent="0.25">
      <c r="A22" s="80">
        <v>43493</v>
      </c>
      <c r="B22" s="81" t="s">
        <v>1207</v>
      </c>
      <c r="C22" s="81" t="s">
        <v>154</v>
      </c>
      <c r="D22" s="81" t="s">
        <v>1238</v>
      </c>
      <c r="E22" s="81" t="s">
        <v>1202</v>
      </c>
      <c r="F22" s="81">
        <v>275</v>
      </c>
      <c r="G22" s="81">
        <v>3</v>
      </c>
      <c r="H22" s="81">
        <v>825</v>
      </c>
    </row>
    <row r="23" spans="1:8" x14ac:dyDescent="0.25">
      <c r="A23" s="78">
        <v>43486</v>
      </c>
      <c r="B23" s="79" t="s">
        <v>1209</v>
      </c>
      <c r="C23" s="79" t="s">
        <v>154</v>
      </c>
      <c r="D23" s="79" t="s">
        <v>1240</v>
      </c>
      <c r="E23" s="79" t="s">
        <v>1202</v>
      </c>
      <c r="F23" s="79">
        <v>275</v>
      </c>
      <c r="G23" s="79">
        <v>1</v>
      </c>
      <c r="H23" s="79">
        <v>275</v>
      </c>
    </row>
    <row r="24" spans="1:8" x14ac:dyDescent="0.25">
      <c r="A24" s="80">
        <v>43542</v>
      </c>
      <c r="B24" s="81" t="s">
        <v>1209</v>
      </c>
      <c r="C24" s="81" t="s">
        <v>154</v>
      </c>
      <c r="D24" s="81" t="s">
        <v>1238</v>
      </c>
      <c r="E24" s="81" t="s">
        <v>1202</v>
      </c>
      <c r="F24" s="81">
        <v>275</v>
      </c>
      <c r="G24" s="81">
        <v>5</v>
      </c>
      <c r="H24" s="81">
        <v>1375</v>
      </c>
    </row>
    <row r="25" spans="1:8" x14ac:dyDescent="0.25">
      <c r="A25" s="78">
        <v>43507</v>
      </c>
      <c r="B25" s="79" t="s">
        <v>1210</v>
      </c>
      <c r="C25" s="79" t="s">
        <v>155</v>
      </c>
      <c r="D25" s="79" t="s">
        <v>1237</v>
      </c>
      <c r="E25" s="79" t="s">
        <v>1202</v>
      </c>
      <c r="F25" s="79">
        <v>275</v>
      </c>
      <c r="G25" s="79">
        <v>2</v>
      </c>
      <c r="H25" s="79">
        <v>550</v>
      </c>
    </row>
    <row r="26" spans="1:8" x14ac:dyDescent="0.25">
      <c r="A26" s="80">
        <v>43536</v>
      </c>
      <c r="B26" s="81" t="s">
        <v>1210</v>
      </c>
      <c r="C26" s="81" t="s">
        <v>155</v>
      </c>
      <c r="D26" s="81" t="s">
        <v>1238</v>
      </c>
      <c r="E26" s="81" t="s">
        <v>1202</v>
      </c>
      <c r="F26" s="81">
        <v>275</v>
      </c>
      <c r="G26" s="81">
        <v>2</v>
      </c>
      <c r="H26" s="81">
        <v>550</v>
      </c>
    </row>
    <row r="27" spans="1:8" x14ac:dyDescent="0.25">
      <c r="A27" s="78">
        <v>43543</v>
      </c>
      <c r="B27" s="79" t="s">
        <v>1210</v>
      </c>
      <c r="C27" s="79" t="s">
        <v>155</v>
      </c>
      <c r="D27" s="79" t="s">
        <v>1237</v>
      </c>
      <c r="E27" s="79" t="s">
        <v>1202</v>
      </c>
      <c r="F27" s="79">
        <v>275</v>
      </c>
      <c r="G27" s="79">
        <v>2</v>
      </c>
      <c r="H27" s="79">
        <v>550</v>
      </c>
    </row>
    <row r="28" spans="1:8" x14ac:dyDescent="0.25">
      <c r="A28" s="80">
        <v>43494</v>
      </c>
      <c r="B28" s="81" t="s">
        <v>1200</v>
      </c>
      <c r="C28" s="81" t="s">
        <v>155</v>
      </c>
      <c r="D28" s="81" t="s">
        <v>1239</v>
      </c>
      <c r="E28" s="81" t="s">
        <v>1203</v>
      </c>
      <c r="F28" s="81">
        <v>1.99</v>
      </c>
      <c r="G28" s="81">
        <v>56</v>
      </c>
      <c r="H28" s="81">
        <v>111.44</v>
      </c>
    </row>
    <row r="29" spans="1:8" x14ac:dyDescent="0.25">
      <c r="A29" s="78">
        <v>43501</v>
      </c>
      <c r="B29" s="79" t="s">
        <v>1207</v>
      </c>
      <c r="C29" s="79" t="s">
        <v>154</v>
      </c>
      <c r="D29" s="79" t="s">
        <v>1240</v>
      </c>
      <c r="E29" s="79" t="s">
        <v>1203</v>
      </c>
      <c r="F29" s="79">
        <v>1.99</v>
      </c>
      <c r="G29" s="79">
        <v>64</v>
      </c>
      <c r="H29" s="79">
        <v>127.36</v>
      </c>
    </row>
    <row r="30" spans="1:8" x14ac:dyDescent="0.25">
      <c r="A30" s="80">
        <v>43531</v>
      </c>
      <c r="B30" s="81" t="s">
        <v>1207</v>
      </c>
      <c r="C30" s="81" t="s">
        <v>154</v>
      </c>
      <c r="D30" s="81" t="s">
        <v>1237</v>
      </c>
      <c r="E30" s="81" t="s">
        <v>1203</v>
      </c>
      <c r="F30" s="81">
        <v>1.99</v>
      </c>
      <c r="G30" s="81">
        <v>96</v>
      </c>
      <c r="H30" s="81">
        <v>191.04</v>
      </c>
    </row>
    <row r="31" spans="1:8" x14ac:dyDescent="0.25">
      <c r="A31" s="78">
        <v>43479</v>
      </c>
      <c r="B31" s="79" t="s">
        <v>1208</v>
      </c>
      <c r="C31" s="79" t="s">
        <v>153</v>
      </c>
      <c r="D31" s="79" t="s">
        <v>1237</v>
      </c>
      <c r="E31" s="79" t="s">
        <v>1203</v>
      </c>
      <c r="F31" s="79">
        <v>1.99</v>
      </c>
      <c r="G31" s="79">
        <v>74</v>
      </c>
      <c r="H31" s="79">
        <v>147.26</v>
      </c>
    </row>
    <row r="32" spans="1:8" x14ac:dyDescent="0.25">
      <c r="A32" s="80">
        <v>43553</v>
      </c>
      <c r="B32" s="81" t="s">
        <v>1208</v>
      </c>
      <c r="C32" s="81" t="s">
        <v>153</v>
      </c>
      <c r="D32" s="81" t="s">
        <v>1237</v>
      </c>
      <c r="E32" s="81" t="s">
        <v>1203</v>
      </c>
      <c r="F32" s="81">
        <v>1.99</v>
      </c>
      <c r="G32" s="81">
        <v>77</v>
      </c>
      <c r="H32" s="81">
        <v>153.22999999999999</v>
      </c>
    </row>
    <row r="33" spans="1:8" x14ac:dyDescent="0.25">
      <c r="A33" s="78">
        <v>43502</v>
      </c>
      <c r="B33" s="79" t="s">
        <v>1209</v>
      </c>
      <c r="C33" s="79" t="s">
        <v>154</v>
      </c>
      <c r="D33" s="79" t="s">
        <v>1240</v>
      </c>
      <c r="E33" s="79" t="s">
        <v>1203</v>
      </c>
      <c r="F33" s="79">
        <v>1.99</v>
      </c>
      <c r="G33" s="79">
        <v>15</v>
      </c>
      <c r="H33" s="79">
        <v>29.85</v>
      </c>
    </row>
    <row r="34" spans="1:8" x14ac:dyDescent="0.25">
      <c r="A34" s="80">
        <v>43515</v>
      </c>
      <c r="B34" s="81" t="s">
        <v>1209</v>
      </c>
      <c r="C34" s="81" t="s">
        <v>154</v>
      </c>
      <c r="D34" s="81" t="s">
        <v>1237</v>
      </c>
      <c r="E34" s="81" t="s">
        <v>1203</v>
      </c>
      <c r="F34" s="81">
        <v>1.99</v>
      </c>
      <c r="G34" s="81">
        <v>41</v>
      </c>
      <c r="H34" s="81">
        <v>81.59</v>
      </c>
    </row>
    <row r="35" spans="1:8" x14ac:dyDescent="0.25">
      <c r="A35" s="78">
        <v>43552</v>
      </c>
      <c r="B35" s="79" t="s">
        <v>1210</v>
      </c>
      <c r="C35" s="79" t="s">
        <v>155</v>
      </c>
      <c r="D35" s="79" t="s">
        <v>1237</v>
      </c>
      <c r="E35" s="79" t="s">
        <v>1203</v>
      </c>
      <c r="F35" s="79">
        <v>1.99</v>
      </c>
      <c r="G35" s="79">
        <v>76</v>
      </c>
      <c r="H35" s="79">
        <v>151.24</v>
      </c>
    </row>
    <row r="36" spans="1:8" x14ac:dyDescent="0.25">
      <c r="A36" s="80">
        <v>43504</v>
      </c>
      <c r="B36" s="81" t="s">
        <v>1200</v>
      </c>
      <c r="C36" s="81" t="s">
        <v>155</v>
      </c>
      <c r="D36" s="81" t="s">
        <v>1237</v>
      </c>
      <c r="E36" s="81" t="s">
        <v>1204</v>
      </c>
      <c r="F36" s="81">
        <v>4.99</v>
      </c>
      <c r="G36" s="81">
        <v>96</v>
      </c>
      <c r="H36" s="81">
        <v>479.04</v>
      </c>
    </row>
    <row r="37" spans="1:8" x14ac:dyDescent="0.25">
      <c r="A37" s="78">
        <v>43518</v>
      </c>
      <c r="B37" s="79" t="s">
        <v>1200</v>
      </c>
      <c r="C37" s="79" t="s">
        <v>155</v>
      </c>
      <c r="D37" s="79" t="s">
        <v>1240</v>
      </c>
      <c r="E37" s="79" t="s">
        <v>1204</v>
      </c>
      <c r="F37" s="79">
        <v>4.99</v>
      </c>
      <c r="G37" s="79">
        <v>62</v>
      </c>
      <c r="H37" s="79">
        <v>309.38</v>
      </c>
    </row>
    <row r="38" spans="1:8" x14ac:dyDescent="0.25">
      <c r="A38" s="80">
        <v>43535</v>
      </c>
      <c r="B38" s="81" t="s">
        <v>1200</v>
      </c>
      <c r="C38" s="81" t="s">
        <v>155</v>
      </c>
      <c r="D38" s="81" t="s">
        <v>1240</v>
      </c>
      <c r="E38" s="81" t="s">
        <v>1204</v>
      </c>
      <c r="F38" s="81">
        <v>4.99</v>
      </c>
      <c r="G38" s="81">
        <v>68</v>
      </c>
      <c r="H38" s="81">
        <v>339.32</v>
      </c>
    </row>
    <row r="39" spans="1:8" x14ac:dyDescent="0.25">
      <c r="A39" s="78">
        <v>43497</v>
      </c>
      <c r="B39" s="79" t="s">
        <v>1207</v>
      </c>
      <c r="C39" s="79" t="s">
        <v>154</v>
      </c>
      <c r="D39" s="79" t="s">
        <v>1237</v>
      </c>
      <c r="E39" s="79" t="s">
        <v>1204</v>
      </c>
      <c r="F39" s="79">
        <v>4.99</v>
      </c>
      <c r="G39" s="79">
        <v>16</v>
      </c>
      <c r="H39" s="79">
        <v>79.84</v>
      </c>
    </row>
    <row r="40" spans="1:8" x14ac:dyDescent="0.25">
      <c r="A40" s="80">
        <v>43500</v>
      </c>
      <c r="B40" s="81" t="s">
        <v>1207</v>
      </c>
      <c r="C40" s="81" t="s">
        <v>154</v>
      </c>
      <c r="D40" s="81" t="s">
        <v>1237</v>
      </c>
      <c r="E40" s="81" t="s">
        <v>1204</v>
      </c>
      <c r="F40" s="81">
        <v>4.99</v>
      </c>
      <c r="G40" s="81">
        <v>48</v>
      </c>
      <c r="H40" s="81">
        <v>239.52</v>
      </c>
    </row>
    <row r="41" spans="1:8" x14ac:dyDescent="0.25">
      <c r="A41" s="78">
        <v>43525</v>
      </c>
      <c r="B41" s="79" t="s">
        <v>1207</v>
      </c>
      <c r="C41" s="79" t="s">
        <v>154</v>
      </c>
      <c r="D41" s="79" t="s">
        <v>1238</v>
      </c>
      <c r="E41" s="79" t="s">
        <v>1204</v>
      </c>
      <c r="F41" s="79">
        <v>4.99</v>
      </c>
      <c r="G41" s="79">
        <v>75</v>
      </c>
      <c r="H41" s="79">
        <v>374.25</v>
      </c>
    </row>
    <row r="42" spans="1:8" x14ac:dyDescent="0.25">
      <c r="A42" s="80">
        <v>43514</v>
      </c>
      <c r="B42" s="81" t="s">
        <v>1208</v>
      </c>
      <c r="C42" s="81" t="s">
        <v>153</v>
      </c>
      <c r="D42" s="81" t="s">
        <v>1240</v>
      </c>
      <c r="E42" s="81" t="s">
        <v>1204</v>
      </c>
      <c r="F42" s="81">
        <v>4.99</v>
      </c>
      <c r="G42" s="81">
        <v>99</v>
      </c>
      <c r="H42" s="81">
        <v>494.01000000000005</v>
      </c>
    </row>
    <row r="43" spans="1:8" x14ac:dyDescent="0.25">
      <c r="A43" s="78">
        <v>43524</v>
      </c>
      <c r="B43" s="79" t="s">
        <v>1208</v>
      </c>
      <c r="C43" s="79" t="s">
        <v>153</v>
      </c>
      <c r="D43" s="79" t="s">
        <v>1237</v>
      </c>
      <c r="E43" s="79" t="s">
        <v>1204</v>
      </c>
      <c r="F43" s="79">
        <v>4.99</v>
      </c>
      <c r="G43" s="79">
        <v>50</v>
      </c>
      <c r="H43" s="79">
        <v>249.5</v>
      </c>
    </row>
    <row r="44" spans="1:8" x14ac:dyDescent="0.25">
      <c r="A44" s="80">
        <v>43537</v>
      </c>
      <c r="B44" s="81" t="s">
        <v>1208</v>
      </c>
      <c r="C44" s="81" t="s">
        <v>153</v>
      </c>
      <c r="D44" s="81" t="s">
        <v>1240</v>
      </c>
      <c r="E44" s="81" t="s">
        <v>1204</v>
      </c>
      <c r="F44" s="81">
        <v>4.99</v>
      </c>
      <c r="G44" s="81">
        <v>55</v>
      </c>
      <c r="H44" s="81">
        <v>274.45</v>
      </c>
    </row>
    <row r="45" spans="1:8" x14ac:dyDescent="0.25">
      <c r="A45" s="78">
        <v>43509</v>
      </c>
      <c r="B45" s="79" t="s">
        <v>1209</v>
      </c>
      <c r="C45" s="79" t="s">
        <v>154</v>
      </c>
      <c r="D45" s="79" t="s">
        <v>1237</v>
      </c>
      <c r="E45" s="79" t="s">
        <v>1204</v>
      </c>
      <c r="F45" s="79">
        <v>4.99</v>
      </c>
      <c r="G45" s="79">
        <v>74</v>
      </c>
      <c r="H45" s="79">
        <v>369.26</v>
      </c>
    </row>
    <row r="46" spans="1:8" x14ac:dyDescent="0.25">
      <c r="A46" s="80">
        <v>43532</v>
      </c>
      <c r="B46" s="81" t="s">
        <v>1209</v>
      </c>
      <c r="C46" s="81" t="s">
        <v>154</v>
      </c>
      <c r="D46" s="81" t="s">
        <v>1238</v>
      </c>
      <c r="E46" s="81" t="s">
        <v>1204</v>
      </c>
      <c r="F46" s="81">
        <v>4.99</v>
      </c>
      <c r="G46" s="81">
        <v>62</v>
      </c>
      <c r="H46" s="81">
        <v>309.38</v>
      </c>
    </row>
    <row r="47" spans="1:8" x14ac:dyDescent="0.25">
      <c r="A47" s="78">
        <v>43544</v>
      </c>
      <c r="B47" s="79" t="s">
        <v>1210</v>
      </c>
      <c r="C47" s="79" t="s">
        <v>155</v>
      </c>
      <c r="D47" s="79" t="s">
        <v>1237</v>
      </c>
      <c r="E47" s="79" t="s">
        <v>1204</v>
      </c>
      <c r="F47" s="79">
        <v>4.99</v>
      </c>
      <c r="G47" s="79">
        <v>42</v>
      </c>
      <c r="H47" s="79">
        <v>209.58</v>
      </c>
    </row>
    <row r="48" spans="1:8" x14ac:dyDescent="0.25">
      <c r="A48" s="80">
        <v>43551</v>
      </c>
      <c r="B48" s="81" t="s">
        <v>1210</v>
      </c>
      <c r="C48" s="81" t="s">
        <v>155</v>
      </c>
      <c r="D48" s="81" t="s">
        <v>1237</v>
      </c>
      <c r="E48" s="81" t="s">
        <v>1204</v>
      </c>
      <c r="F48" s="81">
        <v>4.99</v>
      </c>
      <c r="G48" s="81">
        <v>29</v>
      </c>
      <c r="H48" s="81">
        <v>144.71</v>
      </c>
    </row>
    <row r="49" spans="1:8" x14ac:dyDescent="0.25">
      <c r="A49" s="78">
        <v>43475</v>
      </c>
      <c r="B49" s="79" t="s">
        <v>1200</v>
      </c>
      <c r="C49" s="79" t="s">
        <v>155</v>
      </c>
      <c r="D49" s="79" t="s">
        <v>1237</v>
      </c>
      <c r="E49" s="79" t="s">
        <v>1205</v>
      </c>
      <c r="F49" s="79">
        <v>2.99</v>
      </c>
      <c r="G49" s="79">
        <v>75</v>
      </c>
      <c r="H49" s="79">
        <v>224.25000000000003</v>
      </c>
    </row>
    <row r="50" spans="1:8" x14ac:dyDescent="0.25">
      <c r="A50" s="80">
        <v>43528</v>
      </c>
      <c r="B50" s="81" t="s">
        <v>1200</v>
      </c>
      <c r="C50" s="81" t="s">
        <v>155</v>
      </c>
      <c r="D50" s="81" t="s">
        <v>1240</v>
      </c>
      <c r="E50" s="81" t="s">
        <v>1205</v>
      </c>
      <c r="F50" s="81">
        <v>2.99</v>
      </c>
      <c r="G50" s="81">
        <v>66</v>
      </c>
      <c r="H50" s="81">
        <v>197.34</v>
      </c>
    </row>
    <row r="51" spans="1:8" x14ac:dyDescent="0.25">
      <c r="A51" s="78">
        <v>43508</v>
      </c>
      <c r="B51" s="79" t="s">
        <v>1206</v>
      </c>
      <c r="C51" s="79" t="s">
        <v>153</v>
      </c>
      <c r="D51" s="79" t="s">
        <v>1239</v>
      </c>
      <c r="E51" s="79" t="s">
        <v>1205</v>
      </c>
      <c r="F51" s="79">
        <v>2.99</v>
      </c>
      <c r="G51" s="79">
        <v>67</v>
      </c>
      <c r="H51" s="79">
        <v>200.33</v>
      </c>
    </row>
    <row r="52" spans="1:8" x14ac:dyDescent="0.25">
      <c r="A52" s="80">
        <v>43529</v>
      </c>
      <c r="B52" s="81" t="s">
        <v>1206</v>
      </c>
      <c r="C52" s="81" t="s">
        <v>153</v>
      </c>
      <c r="D52" s="81" t="s">
        <v>1240</v>
      </c>
      <c r="E52" s="81" t="s">
        <v>1205</v>
      </c>
      <c r="F52" s="81">
        <v>2.99</v>
      </c>
      <c r="G52" s="81">
        <v>53</v>
      </c>
      <c r="H52" s="81">
        <v>158.47</v>
      </c>
    </row>
    <row r="53" spans="1:8" x14ac:dyDescent="0.25">
      <c r="A53" s="78">
        <v>43545</v>
      </c>
      <c r="B53" s="79" t="s">
        <v>1206</v>
      </c>
      <c r="C53" s="79" t="s">
        <v>153</v>
      </c>
      <c r="D53" s="79" t="s">
        <v>1237</v>
      </c>
      <c r="E53" s="79" t="s">
        <v>1205</v>
      </c>
      <c r="F53" s="79">
        <v>2.99</v>
      </c>
      <c r="G53" s="79">
        <v>7</v>
      </c>
      <c r="H53" s="79">
        <v>20.93</v>
      </c>
    </row>
    <row r="54" spans="1:8" x14ac:dyDescent="0.25">
      <c r="A54" s="80">
        <v>43467</v>
      </c>
      <c r="B54" s="81" t="s">
        <v>1207</v>
      </c>
      <c r="C54" s="81" t="s">
        <v>154</v>
      </c>
      <c r="D54" s="81" t="s">
        <v>1237</v>
      </c>
      <c r="E54" s="81" t="s">
        <v>1205</v>
      </c>
      <c r="F54" s="81">
        <v>2.99</v>
      </c>
      <c r="G54" s="81">
        <v>95</v>
      </c>
      <c r="H54" s="81">
        <v>284.05</v>
      </c>
    </row>
    <row r="55" spans="1:8" x14ac:dyDescent="0.25">
      <c r="A55" s="78">
        <v>43488</v>
      </c>
      <c r="B55" s="79" t="s">
        <v>1207</v>
      </c>
      <c r="C55" s="79" t="s">
        <v>154</v>
      </c>
      <c r="D55" s="79" t="s">
        <v>1238</v>
      </c>
      <c r="E55" s="79" t="s">
        <v>1205</v>
      </c>
      <c r="F55" s="79">
        <v>2.99</v>
      </c>
      <c r="G55" s="79">
        <v>35</v>
      </c>
      <c r="H55" s="79">
        <v>104.65</v>
      </c>
    </row>
    <row r="56" spans="1:8" x14ac:dyDescent="0.25">
      <c r="A56" s="80">
        <v>43496</v>
      </c>
      <c r="B56" s="81" t="s">
        <v>1207</v>
      </c>
      <c r="C56" s="81" t="s">
        <v>154</v>
      </c>
      <c r="D56" s="81" t="s">
        <v>1238</v>
      </c>
      <c r="E56" s="81" t="s">
        <v>1205</v>
      </c>
      <c r="F56" s="81">
        <v>2.99</v>
      </c>
      <c r="G56" s="81">
        <v>12</v>
      </c>
      <c r="H56" s="81">
        <v>35.880000000000003</v>
      </c>
    </row>
    <row r="57" spans="1:8" x14ac:dyDescent="0.25">
      <c r="A57" s="78">
        <v>43466</v>
      </c>
      <c r="B57" s="79" t="s">
        <v>1208</v>
      </c>
      <c r="C57" s="79" t="s">
        <v>153</v>
      </c>
      <c r="D57" s="79" t="s">
        <v>1237</v>
      </c>
      <c r="E57" s="79" t="s">
        <v>1205</v>
      </c>
      <c r="F57" s="79">
        <v>2.99</v>
      </c>
      <c r="G57" s="79">
        <v>36</v>
      </c>
      <c r="H57" s="79">
        <v>107.64000000000001</v>
      </c>
    </row>
    <row r="58" spans="1:8" x14ac:dyDescent="0.25">
      <c r="A58" s="80">
        <v>43474</v>
      </c>
      <c r="B58" s="81" t="s">
        <v>1208</v>
      </c>
      <c r="C58" s="81" t="s">
        <v>153</v>
      </c>
      <c r="D58" s="81" t="s">
        <v>1237</v>
      </c>
      <c r="E58" s="81" t="s">
        <v>1205</v>
      </c>
      <c r="F58" s="81">
        <v>2.99</v>
      </c>
      <c r="G58" s="81">
        <v>90</v>
      </c>
      <c r="H58" s="81">
        <v>269.10000000000002</v>
      </c>
    </row>
    <row r="59" spans="1:8" x14ac:dyDescent="0.25">
      <c r="A59" s="78">
        <v>43482</v>
      </c>
      <c r="B59" s="79" t="s">
        <v>1208</v>
      </c>
      <c r="C59" s="79" t="s">
        <v>153</v>
      </c>
      <c r="D59" s="79" t="s">
        <v>1240</v>
      </c>
      <c r="E59" s="79" t="s">
        <v>1205</v>
      </c>
      <c r="F59" s="79">
        <v>2.99</v>
      </c>
      <c r="G59" s="79">
        <v>90</v>
      </c>
      <c r="H59" s="79">
        <v>269.10000000000002</v>
      </c>
    </row>
    <row r="60" spans="1:8" x14ac:dyDescent="0.25">
      <c r="A60" s="80">
        <v>43487</v>
      </c>
      <c r="B60" s="81" t="s">
        <v>1208</v>
      </c>
      <c r="C60" s="81" t="s">
        <v>153</v>
      </c>
      <c r="D60" s="81" t="s">
        <v>1239</v>
      </c>
      <c r="E60" s="81" t="s">
        <v>1205</v>
      </c>
      <c r="F60" s="81">
        <v>2.99</v>
      </c>
      <c r="G60" s="81">
        <v>20</v>
      </c>
      <c r="H60" s="81">
        <v>59.800000000000004</v>
      </c>
    </row>
    <row r="61" spans="1:8" x14ac:dyDescent="0.25">
      <c r="A61" s="78">
        <v>43550</v>
      </c>
      <c r="B61" s="79" t="s">
        <v>1208</v>
      </c>
      <c r="C61" s="79" t="s">
        <v>153</v>
      </c>
      <c r="D61" s="79" t="s">
        <v>1238</v>
      </c>
      <c r="E61" s="79" t="s">
        <v>1205</v>
      </c>
      <c r="F61" s="79">
        <v>2.99</v>
      </c>
      <c r="G61" s="79">
        <v>42</v>
      </c>
      <c r="H61" s="79">
        <v>125.58000000000001</v>
      </c>
    </row>
    <row r="62" spans="1:8" x14ac:dyDescent="0.25">
      <c r="A62" s="80">
        <v>43538</v>
      </c>
      <c r="B62" s="81" t="s">
        <v>1209</v>
      </c>
      <c r="C62" s="81" t="s">
        <v>154</v>
      </c>
      <c r="D62" s="81" t="s">
        <v>1237</v>
      </c>
      <c r="E62" s="81" t="s">
        <v>1205</v>
      </c>
      <c r="F62" s="81">
        <v>2.99</v>
      </c>
      <c r="G62" s="81">
        <v>16</v>
      </c>
      <c r="H62" s="81">
        <v>47.84</v>
      </c>
    </row>
    <row r="63" spans="1:8" x14ac:dyDescent="0.25">
      <c r="A63" s="78">
        <v>43539</v>
      </c>
      <c r="B63" s="79" t="s">
        <v>1209</v>
      </c>
      <c r="C63" s="79" t="s">
        <v>154</v>
      </c>
      <c r="D63" s="79" t="s">
        <v>1240</v>
      </c>
      <c r="E63" s="79" t="s">
        <v>1205</v>
      </c>
      <c r="F63" s="79">
        <v>2.99</v>
      </c>
      <c r="G63" s="79">
        <v>68</v>
      </c>
      <c r="H63" s="79">
        <v>203.32000000000002</v>
      </c>
    </row>
    <row r="64" spans="1:8" x14ac:dyDescent="0.25">
      <c r="A64" s="80">
        <v>43473</v>
      </c>
      <c r="B64" s="81" t="s">
        <v>1210</v>
      </c>
      <c r="C64" s="81" t="s">
        <v>155</v>
      </c>
      <c r="D64" s="81" t="s">
        <v>1237</v>
      </c>
      <c r="E64" s="81" t="s">
        <v>1205</v>
      </c>
      <c r="F64" s="81">
        <v>2.99</v>
      </c>
      <c r="G64" s="81">
        <v>56</v>
      </c>
      <c r="H64" s="81">
        <v>167.44</v>
      </c>
    </row>
    <row r="65" spans="1:8" x14ac:dyDescent="0.25">
      <c r="A65" s="78">
        <v>43476</v>
      </c>
      <c r="B65" s="79" t="s">
        <v>1210</v>
      </c>
      <c r="C65" s="79" t="s">
        <v>155</v>
      </c>
      <c r="D65" s="79" t="s">
        <v>1239</v>
      </c>
      <c r="E65" s="79" t="s">
        <v>1205</v>
      </c>
      <c r="F65" s="79">
        <v>2.99</v>
      </c>
      <c r="G65" s="79">
        <v>32</v>
      </c>
      <c r="H65" s="79">
        <v>95.68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44C92-148D-44EB-8148-5553981A8BCA}">
  <dimension ref="A4:R44"/>
  <sheetViews>
    <sheetView showGridLines="0" workbookViewId="0">
      <selection activeCell="H12" sqref="H12"/>
    </sheetView>
  </sheetViews>
  <sheetFormatPr defaultRowHeight="15" x14ac:dyDescent="0.25"/>
  <cols>
    <col min="1" max="1" width="13.140625" bestFit="1" customWidth="1"/>
    <col min="2" max="2" width="12.28515625" bestFit="1" customWidth="1"/>
    <col min="3" max="3" width="12" bestFit="1" customWidth="1"/>
    <col min="4" max="4" width="16.5703125" bestFit="1" customWidth="1"/>
    <col min="5" max="5" width="13.140625" bestFit="1" customWidth="1"/>
    <col min="8" max="8" width="12.42578125" bestFit="1" customWidth="1"/>
    <col min="9" max="11" width="11.42578125" bestFit="1" customWidth="1"/>
    <col min="12" max="17" width="7.85546875" bestFit="1" customWidth="1"/>
    <col min="18" max="18" width="14.42578125" bestFit="1" customWidth="1"/>
    <col min="19" max="53" width="7.85546875" bestFit="1" customWidth="1"/>
    <col min="54" max="54" width="10.7109375" bestFit="1" customWidth="1"/>
  </cols>
  <sheetData>
    <row r="4" spans="1:18" x14ac:dyDescent="0.25">
      <c r="A4" s="29" t="s">
        <v>1215</v>
      </c>
      <c r="M4" s="7" t="s">
        <v>9</v>
      </c>
      <c r="R4" s="7" t="s">
        <v>9</v>
      </c>
    </row>
    <row r="5" spans="1:18" x14ac:dyDescent="0.25">
      <c r="A5" t="s">
        <v>1211</v>
      </c>
      <c r="B5" s="73" t="s">
        <v>1213</v>
      </c>
    </row>
    <row r="6" spans="1:18" x14ac:dyDescent="0.25">
      <c r="A6" t="s">
        <v>1212</v>
      </c>
      <c r="B6" s="73" t="s">
        <v>1214</v>
      </c>
    </row>
    <row r="9" spans="1:18" x14ac:dyDescent="0.25">
      <c r="B9" s="70" t="s">
        <v>1198</v>
      </c>
    </row>
    <row r="10" spans="1:18" x14ac:dyDescent="0.25">
      <c r="A10" s="70" t="s">
        <v>1199</v>
      </c>
      <c r="B10" t="s">
        <v>1242</v>
      </c>
      <c r="C10" t="s">
        <v>1241</v>
      </c>
      <c r="D10" t="s">
        <v>1255</v>
      </c>
      <c r="E10" t="s">
        <v>1256</v>
      </c>
    </row>
    <row r="11" spans="1:18" x14ac:dyDescent="0.25">
      <c r="A11" s="9" t="s">
        <v>1200</v>
      </c>
      <c r="B11" s="94">
        <v>592</v>
      </c>
      <c r="C11" s="94">
        <v>5474.1900000000005</v>
      </c>
      <c r="D11" s="94">
        <v>164.22570000000002</v>
      </c>
      <c r="E11" s="94">
        <v>164.22570000000002</v>
      </c>
    </row>
    <row r="12" spans="1:18" x14ac:dyDescent="0.25">
      <c r="A12" s="71" t="s">
        <v>1201</v>
      </c>
      <c r="B12" s="94">
        <v>158</v>
      </c>
      <c r="C12" s="94">
        <v>788.42000000000007</v>
      </c>
      <c r="D12" s="94">
        <v>23.6526</v>
      </c>
      <c r="E12" s="94">
        <v>23.6526</v>
      </c>
    </row>
    <row r="13" spans="1:18" x14ac:dyDescent="0.25">
      <c r="A13" s="71" t="s">
        <v>1202</v>
      </c>
      <c r="B13" s="94">
        <v>11</v>
      </c>
      <c r="C13" s="94">
        <v>3025</v>
      </c>
      <c r="D13" s="94">
        <v>90.75</v>
      </c>
      <c r="E13" s="94">
        <v>0</v>
      </c>
    </row>
    <row r="14" spans="1:18" x14ac:dyDescent="0.25">
      <c r="A14" s="71" t="s">
        <v>1203</v>
      </c>
      <c r="B14" s="94">
        <v>56</v>
      </c>
      <c r="C14" s="94">
        <v>111.44</v>
      </c>
      <c r="D14" s="94">
        <v>3.3431999999999999</v>
      </c>
      <c r="E14" s="94">
        <v>0</v>
      </c>
    </row>
    <row r="15" spans="1:18" x14ac:dyDescent="0.25">
      <c r="A15" s="71" t="s">
        <v>1204</v>
      </c>
      <c r="B15" s="94">
        <v>226</v>
      </c>
      <c r="C15" s="94">
        <v>1127.74</v>
      </c>
      <c r="D15" s="94">
        <v>33.8322</v>
      </c>
      <c r="E15" s="94">
        <v>33.8322</v>
      </c>
    </row>
    <row r="16" spans="1:18" x14ac:dyDescent="0.25">
      <c r="A16" s="71" t="s">
        <v>1205</v>
      </c>
      <c r="B16" s="94">
        <v>141</v>
      </c>
      <c r="C16" s="94">
        <v>421.59000000000003</v>
      </c>
      <c r="D16" s="94">
        <v>12.6477</v>
      </c>
      <c r="E16" s="94">
        <v>12.6477</v>
      </c>
    </row>
    <row r="17" spans="1:5" x14ac:dyDescent="0.25">
      <c r="A17" s="9" t="s">
        <v>1206</v>
      </c>
      <c r="B17" s="94">
        <v>343</v>
      </c>
      <c r="C17" s="94">
        <v>2267.6000000000004</v>
      </c>
      <c r="D17" s="94">
        <v>68.027999999999992</v>
      </c>
      <c r="E17" s="94">
        <v>68.027999999999992</v>
      </c>
    </row>
    <row r="18" spans="1:5" x14ac:dyDescent="0.25">
      <c r="A18" s="71" t="s">
        <v>1201</v>
      </c>
      <c r="B18" s="94">
        <v>213</v>
      </c>
      <c r="C18" s="94">
        <v>1062.8700000000001</v>
      </c>
      <c r="D18" s="94">
        <v>31.886100000000003</v>
      </c>
      <c r="E18" s="94">
        <v>31.886100000000003</v>
      </c>
    </row>
    <row r="19" spans="1:5" x14ac:dyDescent="0.25">
      <c r="A19" s="71" t="s">
        <v>1202</v>
      </c>
      <c r="B19" s="94">
        <v>3</v>
      </c>
      <c r="C19" s="94">
        <v>825</v>
      </c>
      <c r="D19" s="94">
        <v>24.75</v>
      </c>
      <c r="E19" s="94">
        <v>0</v>
      </c>
    </row>
    <row r="20" spans="1:5" x14ac:dyDescent="0.25">
      <c r="A20" s="71" t="s">
        <v>1205</v>
      </c>
      <c r="B20" s="94">
        <v>127</v>
      </c>
      <c r="C20" s="94">
        <v>379.73</v>
      </c>
      <c r="D20" s="94">
        <v>11.3919</v>
      </c>
      <c r="E20" s="94">
        <v>11.3919</v>
      </c>
    </row>
    <row r="21" spans="1:5" x14ac:dyDescent="0.25">
      <c r="A21" s="9" t="s">
        <v>1207</v>
      </c>
      <c r="B21" s="94">
        <v>597</v>
      </c>
      <c r="C21" s="94">
        <v>3025.0600000000004</v>
      </c>
      <c r="D21" s="94">
        <v>90.751800000000003</v>
      </c>
      <c r="E21" s="94">
        <v>90.751800000000003</v>
      </c>
    </row>
    <row r="22" spans="1:5" x14ac:dyDescent="0.25">
      <c r="A22" s="71" t="s">
        <v>1201</v>
      </c>
      <c r="B22" s="94">
        <v>153</v>
      </c>
      <c r="C22" s="94">
        <v>763.47000000000014</v>
      </c>
      <c r="D22" s="94">
        <v>22.904100000000003</v>
      </c>
      <c r="E22" s="94">
        <v>22.904100000000003</v>
      </c>
    </row>
    <row r="23" spans="1:5" x14ac:dyDescent="0.25">
      <c r="A23" s="71" t="s">
        <v>1202</v>
      </c>
      <c r="B23" s="94">
        <v>3</v>
      </c>
      <c r="C23" s="94">
        <v>825</v>
      </c>
      <c r="D23" s="94">
        <v>24.75</v>
      </c>
      <c r="E23" s="94">
        <v>0</v>
      </c>
    </row>
    <row r="24" spans="1:5" x14ac:dyDescent="0.25">
      <c r="A24" s="71" t="s">
        <v>1203</v>
      </c>
      <c r="B24" s="94">
        <v>160</v>
      </c>
      <c r="C24" s="94">
        <v>318.39999999999998</v>
      </c>
      <c r="D24" s="94">
        <v>9.5519999999999996</v>
      </c>
      <c r="E24" s="94">
        <v>9.5519999999999996</v>
      </c>
    </row>
    <row r="25" spans="1:5" x14ac:dyDescent="0.25">
      <c r="A25" s="71" t="s">
        <v>1204</v>
      </c>
      <c r="B25" s="94">
        <v>139</v>
      </c>
      <c r="C25" s="94">
        <v>693.61</v>
      </c>
      <c r="D25" s="94">
        <v>20.808299999999999</v>
      </c>
      <c r="E25" s="94">
        <v>20.808299999999999</v>
      </c>
    </row>
    <row r="26" spans="1:5" x14ac:dyDescent="0.25">
      <c r="A26" s="71" t="s">
        <v>1205</v>
      </c>
      <c r="B26" s="94">
        <v>142</v>
      </c>
      <c r="C26" s="94">
        <v>424.58000000000004</v>
      </c>
      <c r="D26" s="94">
        <v>12.737400000000001</v>
      </c>
      <c r="E26" s="94">
        <v>12.737400000000001</v>
      </c>
    </row>
    <row r="27" spans="1:5" x14ac:dyDescent="0.25">
      <c r="A27" s="9" t="s">
        <v>1208</v>
      </c>
      <c r="B27" s="94">
        <v>661</v>
      </c>
      <c r="C27" s="94">
        <v>2289.3900000000003</v>
      </c>
      <c r="D27" s="94">
        <v>68.681700000000006</v>
      </c>
      <c r="E27" s="94">
        <v>68.681700000000006</v>
      </c>
    </row>
    <row r="28" spans="1:5" x14ac:dyDescent="0.25">
      <c r="A28" s="71" t="s">
        <v>1201</v>
      </c>
      <c r="B28" s="94">
        <v>28</v>
      </c>
      <c r="C28" s="94">
        <v>139.72</v>
      </c>
      <c r="D28" s="94">
        <v>4.1916000000000002</v>
      </c>
      <c r="E28" s="94">
        <v>0</v>
      </c>
    </row>
    <row r="29" spans="1:5" x14ac:dyDescent="0.25">
      <c r="A29" s="71" t="s">
        <v>1203</v>
      </c>
      <c r="B29" s="94">
        <v>151</v>
      </c>
      <c r="C29" s="94">
        <v>300.49</v>
      </c>
      <c r="D29" s="94">
        <v>9.0146999999999995</v>
      </c>
      <c r="E29" s="94">
        <v>9.0146999999999995</v>
      </c>
    </row>
    <row r="30" spans="1:5" x14ac:dyDescent="0.25">
      <c r="A30" s="71" t="s">
        <v>1204</v>
      </c>
      <c r="B30" s="94">
        <v>204</v>
      </c>
      <c r="C30" s="94">
        <v>1017.96</v>
      </c>
      <c r="D30" s="94">
        <v>30.538799999999998</v>
      </c>
      <c r="E30" s="94">
        <v>30.538799999999998</v>
      </c>
    </row>
    <row r="31" spans="1:5" x14ac:dyDescent="0.25">
      <c r="A31" s="71" t="s">
        <v>1205</v>
      </c>
      <c r="B31" s="94">
        <v>278</v>
      </c>
      <c r="C31" s="94">
        <v>831.22</v>
      </c>
      <c r="D31" s="94">
        <v>24.936599999999999</v>
      </c>
      <c r="E31" s="94">
        <v>24.936599999999999</v>
      </c>
    </row>
    <row r="32" spans="1:5" x14ac:dyDescent="0.25">
      <c r="A32" s="9" t="s">
        <v>1209</v>
      </c>
      <c r="B32" s="94">
        <v>423</v>
      </c>
      <c r="C32" s="94">
        <v>3394.83</v>
      </c>
      <c r="D32" s="94">
        <v>101.84490000000001</v>
      </c>
      <c r="E32" s="94">
        <v>101.84490000000001</v>
      </c>
    </row>
    <row r="33" spans="1:5" x14ac:dyDescent="0.25">
      <c r="A33" s="71" t="s">
        <v>1201</v>
      </c>
      <c r="B33" s="94">
        <v>141</v>
      </c>
      <c r="C33" s="94">
        <v>703.59</v>
      </c>
      <c r="D33" s="94">
        <v>21.107700000000001</v>
      </c>
      <c r="E33" s="94">
        <v>21.107700000000001</v>
      </c>
    </row>
    <row r="34" spans="1:5" x14ac:dyDescent="0.25">
      <c r="A34" s="71" t="s">
        <v>1202</v>
      </c>
      <c r="B34" s="94">
        <v>6</v>
      </c>
      <c r="C34" s="94">
        <v>1650</v>
      </c>
      <c r="D34" s="94">
        <v>49.5</v>
      </c>
      <c r="E34" s="94">
        <v>0</v>
      </c>
    </row>
    <row r="35" spans="1:5" x14ac:dyDescent="0.25">
      <c r="A35" s="71" t="s">
        <v>1203</v>
      </c>
      <c r="B35" s="94">
        <v>56</v>
      </c>
      <c r="C35" s="94">
        <v>111.44</v>
      </c>
      <c r="D35" s="94">
        <v>3.3431999999999999</v>
      </c>
      <c r="E35" s="94">
        <v>0</v>
      </c>
    </row>
    <row r="36" spans="1:5" x14ac:dyDescent="0.25">
      <c r="A36" s="71" t="s">
        <v>1204</v>
      </c>
      <c r="B36" s="94">
        <v>136</v>
      </c>
      <c r="C36" s="94">
        <v>678.64</v>
      </c>
      <c r="D36" s="94">
        <v>20.359199999999998</v>
      </c>
      <c r="E36" s="94">
        <v>20.359199999999998</v>
      </c>
    </row>
    <row r="37" spans="1:5" x14ac:dyDescent="0.25">
      <c r="A37" s="71" t="s">
        <v>1205</v>
      </c>
      <c r="B37" s="94">
        <v>84</v>
      </c>
      <c r="C37" s="94">
        <v>251.16000000000003</v>
      </c>
      <c r="D37" s="94">
        <v>7.5348000000000006</v>
      </c>
      <c r="E37" s="94">
        <v>0</v>
      </c>
    </row>
    <row r="38" spans="1:5" x14ac:dyDescent="0.25">
      <c r="A38" s="9" t="s">
        <v>1210</v>
      </c>
      <c r="B38" s="94">
        <v>334</v>
      </c>
      <c r="C38" s="94">
        <v>2882.7200000000003</v>
      </c>
      <c r="D38" s="94">
        <v>86.4816</v>
      </c>
      <c r="E38" s="94">
        <v>86.4816</v>
      </c>
    </row>
    <row r="39" spans="1:5" x14ac:dyDescent="0.25">
      <c r="A39" s="71" t="s">
        <v>1201</v>
      </c>
      <c r="B39" s="94">
        <v>93</v>
      </c>
      <c r="C39" s="94">
        <v>464.07000000000005</v>
      </c>
      <c r="D39" s="94">
        <v>13.9221</v>
      </c>
      <c r="E39" s="94">
        <v>0</v>
      </c>
    </row>
    <row r="40" spans="1:5" x14ac:dyDescent="0.25">
      <c r="A40" s="71" t="s">
        <v>1202</v>
      </c>
      <c r="B40" s="94">
        <v>6</v>
      </c>
      <c r="C40" s="94">
        <v>1650</v>
      </c>
      <c r="D40" s="94">
        <v>49.5</v>
      </c>
      <c r="E40" s="94">
        <v>0</v>
      </c>
    </row>
    <row r="41" spans="1:5" x14ac:dyDescent="0.25">
      <c r="A41" s="71" t="s">
        <v>1203</v>
      </c>
      <c r="B41" s="94">
        <v>76</v>
      </c>
      <c r="C41" s="94">
        <v>151.24</v>
      </c>
      <c r="D41" s="94">
        <v>4.5372000000000003</v>
      </c>
      <c r="E41" s="94">
        <v>0</v>
      </c>
    </row>
    <row r="42" spans="1:5" x14ac:dyDescent="0.25">
      <c r="A42" s="71" t="s">
        <v>1204</v>
      </c>
      <c r="B42" s="94">
        <v>71</v>
      </c>
      <c r="C42" s="94">
        <v>354.29</v>
      </c>
      <c r="D42" s="94">
        <v>10.6287</v>
      </c>
      <c r="E42" s="94">
        <v>0</v>
      </c>
    </row>
    <row r="43" spans="1:5" x14ac:dyDescent="0.25">
      <c r="A43" s="71" t="s">
        <v>1205</v>
      </c>
      <c r="B43" s="94">
        <v>88</v>
      </c>
      <c r="C43" s="94">
        <v>263.12</v>
      </c>
      <c r="D43" s="94">
        <v>7.8936000000000002</v>
      </c>
      <c r="E43" s="94">
        <v>0</v>
      </c>
    </row>
    <row r="44" spans="1:5" x14ac:dyDescent="0.25">
      <c r="A44" s="9" t="s">
        <v>176</v>
      </c>
      <c r="B44" s="94">
        <v>2950</v>
      </c>
      <c r="C44" s="94">
        <v>19333.79</v>
      </c>
      <c r="D44" s="94">
        <v>580.01369999999997</v>
      </c>
      <c r="E44" s="94">
        <v>580.01369999999997</v>
      </c>
    </row>
  </sheetData>
  <hyperlinks>
    <hyperlink ref="R4" location="O!A1" display="NEXT QUESTION" xr:uid="{BCDA964B-37AA-4B0E-8198-37EA77DB565E}"/>
    <hyperlink ref="M4" location="O!A1" display="NEXT QUESTION" xr:uid="{E15D74EB-FB6E-4630-B37F-D068F4810711}"/>
  </hyperlinks>
  <pageMargins left="0.7" right="0.7" top="0.75" bottom="0.75" header="0.3" footer="0.3"/>
  <pageSetup paperSize="9"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4:K16"/>
  <sheetViews>
    <sheetView showGridLines="0" workbookViewId="0">
      <selection activeCell="B10" sqref="B10"/>
    </sheetView>
  </sheetViews>
  <sheetFormatPr defaultColWidth="8.85546875" defaultRowHeight="15" x14ac:dyDescent="0.25"/>
  <cols>
    <col min="1" max="1" width="61.42578125" style="67" bestFit="1" customWidth="1"/>
    <col min="2" max="2" width="31.28515625" style="67" bestFit="1" customWidth="1"/>
    <col min="3" max="3" width="18.5703125" style="67" bestFit="1" customWidth="1"/>
    <col min="4" max="16384" width="8.85546875" style="67"/>
  </cols>
  <sheetData>
    <row r="4" spans="1:11" x14ac:dyDescent="0.25">
      <c r="K4" s="60" t="s">
        <v>9</v>
      </c>
    </row>
    <row r="5" spans="1:11" ht="45" x14ac:dyDescent="0.25">
      <c r="A5" s="72" t="s">
        <v>180</v>
      </c>
      <c r="B5" s="72"/>
    </row>
    <row r="8" spans="1:11" x14ac:dyDescent="0.25">
      <c r="A8" s="68" t="s">
        <v>177</v>
      </c>
      <c r="B8" s="68" t="s">
        <v>178</v>
      </c>
      <c r="C8" s="68" t="s">
        <v>179</v>
      </c>
    </row>
    <row r="9" spans="1:11" x14ac:dyDescent="0.25">
      <c r="A9" s="69" t="s">
        <v>1189</v>
      </c>
      <c r="B9" s="69" t="s">
        <v>1257</v>
      </c>
      <c r="C9" s="69" t="s">
        <v>1258</v>
      </c>
    </row>
    <row r="10" spans="1:11" x14ac:dyDescent="0.25">
      <c r="A10" s="69" t="s">
        <v>1190</v>
      </c>
      <c r="B10" s="69" t="s">
        <v>1259</v>
      </c>
      <c r="C10" s="69" t="s">
        <v>1260</v>
      </c>
    </row>
    <row r="11" spans="1:11" x14ac:dyDescent="0.25">
      <c r="A11" s="69" t="s">
        <v>1191</v>
      </c>
      <c r="B11" s="69" t="s">
        <v>1261</v>
      </c>
      <c r="C11" s="69" t="s">
        <v>1262</v>
      </c>
    </row>
    <row r="12" spans="1:11" x14ac:dyDescent="0.25">
      <c r="A12" s="69" t="s">
        <v>1192</v>
      </c>
      <c r="B12" s="69" t="s">
        <v>1263</v>
      </c>
      <c r="C12" s="69" t="s">
        <v>1264</v>
      </c>
    </row>
    <row r="13" spans="1:11" x14ac:dyDescent="0.25">
      <c r="A13" s="69" t="s">
        <v>1193</v>
      </c>
      <c r="B13" s="69" t="s">
        <v>1265</v>
      </c>
      <c r="C13" s="69" t="s">
        <v>1266</v>
      </c>
    </row>
    <row r="14" spans="1:11" x14ac:dyDescent="0.25">
      <c r="A14" s="69" t="s">
        <v>1194</v>
      </c>
      <c r="B14" s="69" t="s">
        <v>1267</v>
      </c>
      <c r="C14" s="69" t="s">
        <v>1268</v>
      </c>
    </row>
    <row r="15" spans="1:11" x14ac:dyDescent="0.25">
      <c r="A15" s="69" t="s">
        <v>1195</v>
      </c>
      <c r="B15" s="69" t="s">
        <v>1269</v>
      </c>
      <c r="C15" s="69" t="s">
        <v>1270</v>
      </c>
    </row>
    <row r="16" spans="1:11" x14ac:dyDescent="0.25">
      <c r="A16" s="69" t="s">
        <v>1196</v>
      </c>
      <c r="B16" s="69" t="s">
        <v>1271</v>
      </c>
      <c r="C16" s="69" t="s">
        <v>1272</v>
      </c>
    </row>
  </sheetData>
  <hyperlinks>
    <hyperlink ref="K4" location="P!A1" display="NEXT QUESTION" xr:uid="{00000000-0004-0000-0E00-000000000000}"/>
  </hyperlinks>
  <pageMargins left="0.75" right="0.75" top="1" bottom="1" header="0.5" footer="0.5"/>
  <pageSetup paperSize="9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1F7ED-6357-4EE7-8DD6-C3B9E7619026}">
  <sheetPr codeName="Sheet17"/>
  <dimension ref="A4:M35"/>
  <sheetViews>
    <sheetView showGridLines="0" topLeftCell="A7" workbookViewId="0">
      <selection activeCell="F9" sqref="F9"/>
    </sheetView>
  </sheetViews>
  <sheetFormatPr defaultColWidth="8.85546875" defaultRowHeight="12.75" x14ac:dyDescent="0.2"/>
  <cols>
    <col min="1" max="1" width="15.85546875" style="36" bestFit="1" customWidth="1"/>
    <col min="2" max="2" width="19.5703125" style="36" bestFit="1" customWidth="1"/>
    <col min="3" max="3" width="13.42578125" style="36" bestFit="1" customWidth="1"/>
    <col min="4" max="4" width="15.85546875" style="36" bestFit="1" customWidth="1"/>
    <col min="5" max="5" width="19.5703125" style="36" bestFit="1" customWidth="1"/>
    <col min="6" max="7" width="18.5703125" style="36" bestFit="1" customWidth="1"/>
    <col min="8" max="8" width="19.5703125" style="36" bestFit="1" customWidth="1"/>
    <col min="9" max="9" width="18.5703125" style="36" bestFit="1" customWidth="1"/>
    <col min="10" max="12" width="8.85546875" style="36"/>
    <col min="13" max="13" width="14.42578125" style="36" bestFit="1" customWidth="1"/>
    <col min="14" max="16384" width="8.85546875" style="36"/>
  </cols>
  <sheetData>
    <row r="4" spans="1:13" ht="15" x14ac:dyDescent="0.25">
      <c r="I4" s="7" t="s">
        <v>9</v>
      </c>
    </row>
    <row r="5" spans="1:13" x14ac:dyDescent="0.2">
      <c r="A5" s="38" t="s">
        <v>1148</v>
      </c>
    </row>
    <row r="6" spans="1:13" ht="15" x14ac:dyDescent="0.25">
      <c r="M6" s="7" t="s">
        <v>9</v>
      </c>
    </row>
    <row r="7" spans="1:13" x14ac:dyDescent="0.2">
      <c r="A7" s="88" t="s">
        <v>1147</v>
      </c>
      <c r="B7" s="88"/>
      <c r="D7" s="89" t="s">
        <v>1122</v>
      </c>
      <c r="E7" s="89"/>
      <c r="F7" s="89"/>
      <c r="G7" s="89"/>
      <c r="H7" s="89"/>
      <c r="I7" s="89"/>
    </row>
    <row r="8" spans="1:13" x14ac:dyDescent="0.2">
      <c r="A8" s="42" t="s">
        <v>1109</v>
      </c>
      <c r="B8" s="42" t="s">
        <v>1110</v>
      </c>
      <c r="D8" s="42" t="s">
        <v>1109</v>
      </c>
      <c r="E8" s="43" t="s">
        <v>1116</v>
      </c>
      <c r="F8" s="43" t="s">
        <v>1117</v>
      </c>
      <c r="G8" s="43" t="s">
        <v>1118</v>
      </c>
      <c r="H8" s="43" t="s">
        <v>1119</v>
      </c>
      <c r="I8" s="43" t="s">
        <v>1120</v>
      </c>
    </row>
    <row r="9" spans="1:13" x14ac:dyDescent="0.2">
      <c r="A9" s="44">
        <v>202256789</v>
      </c>
      <c r="B9" s="44" t="s">
        <v>1111</v>
      </c>
      <c r="D9" s="44">
        <v>202256789</v>
      </c>
      <c r="E9" s="41" t="str" cm="1">
        <f t="array" ref="E9">IFERROR(INDEX($B$9:$B$35, SMALL(IF($A$9:$A$35=$A9, ROW($A$9:$A$35)-ROW($A$9)+1), 1)), "")</f>
        <v>Cloud Security</v>
      </c>
      <c r="F9" s="41" t="str" cm="1">
        <f t="array" ref="F9">IFERROR(INDEX($B$9:$B$35, SMALL(IF($A$9:$A$35=$A9, ROW($A$9:$A$35)-ROW($A$9)+1), 2)), "")</f>
        <v>Web security</v>
      </c>
      <c r="G9" s="41" t="str" cm="1">
        <f t="array" ref="G9">IFERROR(INDEX($B$9:$B$35, SMALL(IF($A$9:$A$35=$A9, ROW($A$9:$A$35)-ROW($A$9)+1), 3)), "")</f>
        <v>Cryptography</v>
      </c>
      <c r="H9" s="41" t="str" cm="1">
        <f t="array" ref="H9">IFERROR(INDEX($B$9:$B$35, SMALL(IF($A$9:$A$35=$A9, ROW($A$9:$A$35)-ROW($A$9)+1), 4)), "")</f>
        <v/>
      </c>
      <c r="I9" s="41" t="str" cm="1">
        <f t="array" ref="I9">IFERROR(INDEX($B$9:$B$35, SMALL(IF($A$9:$A$35=$A9, ROW($A$9:$A$35)-ROW($A$9)+1), 5)), "")</f>
        <v/>
      </c>
    </row>
    <row r="10" spans="1:13" x14ac:dyDescent="0.2">
      <c r="A10" s="44">
        <v>202256789</v>
      </c>
      <c r="B10" s="44" t="s">
        <v>1112</v>
      </c>
      <c r="D10" s="44">
        <v>202256790</v>
      </c>
      <c r="E10" s="41" t="str" cm="1">
        <f t="array" ref="E10">IFERROR(INDEX($B$9:$B$35, SMALL(IF($A$9:$A$35=$A10, ROW($A$9:$A$35)-ROW($A$9)+1), 1)), "")</f>
        <v>Cloud Security</v>
      </c>
      <c r="F10" s="41" t="str" cm="1">
        <f t="array" ref="F10">IFERROR(INDEX($B$9:$B$35, SMALL(IF($A$9:$A$35=$A10, ROW($A$9:$A$35)-ROW($A$9)+1), 2)), "")</f>
        <v>Web security</v>
      </c>
      <c r="G10" s="41" t="str" cm="1">
        <f t="array" ref="G10">IFERROR(INDEX($B$9:$B$35, SMALL(IF($A$9:$A$35=$A10, ROW($A$9:$A$35)-ROW($A$9)+1), 3)), "")</f>
        <v>Cryptography</v>
      </c>
      <c r="H10" s="41" t="str" cm="1">
        <f t="array" ref="H10">IFERROR(INDEX($B$9:$B$35, SMALL(IF($A$9:$A$35=$A10, ROW($A$9:$A$35)-ROW($A$9)+1), 4)), "")</f>
        <v/>
      </c>
      <c r="I10" s="41" t="str" cm="1">
        <f t="array" ref="I10">IFERROR(INDEX($B$9:$B$35, SMALL(IF($A$9:$A$35=$A10, ROW($A$9:$A$35)-ROW($A$9)+1), 5)), "")</f>
        <v/>
      </c>
    </row>
    <row r="11" spans="1:13" x14ac:dyDescent="0.2">
      <c r="A11" s="44">
        <v>202256789</v>
      </c>
      <c r="B11" s="44" t="s">
        <v>1113</v>
      </c>
      <c r="D11" s="44">
        <v>202256791</v>
      </c>
      <c r="E11" s="41" t="str" cm="1">
        <f t="array" ref="E11">IFERROR(INDEX($B$9:$B$35, SMALL(IF($A$9:$A$35=$A11, ROW($A$9:$A$35)-ROW($A$9)+1), 1)), "")</f>
        <v>Cloud Security</v>
      </c>
      <c r="F11" s="41" t="str" cm="1">
        <f t="array" ref="F11">IFERROR(INDEX($B$9:$B$35, SMALL(IF($A$9:$A$35=$A11, ROW($A$9:$A$35)-ROW($A$9)+1), 2)), "")</f>
        <v>Web security</v>
      </c>
      <c r="G11" s="41" t="str" cm="1">
        <f t="array" ref="G11">IFERROR(INDEX($B$9:$B$35, SMALL(IF($A$9:$A$35=$A11, ROW($A$9:$A$35)-ROW($A$9)+1), 3)), "")</f>
        <v>Cryptography</v>
      </c>
      <c r="H11" s="41" t="str" cm="1">
        <f t="array" ref="H11">IFERROR(INDEX($B$9:$B$35, SMALL(IF($A$9:$A$35=$A11, ROW($A$9:$A$35)-ROW($A$9)+1), 4)), "")</f>
        <v/>
      </c>
      <c r="I11" s="41" t="str" cm="1">
        <f t="array" ref="I11">IFERROR(INDEX($B$9:$B$35, SMALL(IF($A$9:$A$35=$A11, ROW($A$9:$A$35)-ROW($A$9)+1), 5)), "")</f>
        <v/>
      </c>
    </row>
    <row r="12" spans="1:13" x14ac:dyDescent="0.2">
      <c r="A12" s="44">
        <v>202256790</v>
      </c>
      <c r="B12" s="44" t="s">
        <v>1114</v>
      </c>
      <c r="D12" s="44">
        <v>202256792</v>
      </c>
      <c r="E12" s="41" t="str" cm="1">
        <f t="array" ref="E12">IFERROR(INDEX($B$9:$B$35, SMALL(IF($A$9:$A$35=$A12, ROW($A$9:$A$35)-ROW($A$9)+1), 1)), "")</f>
        <v>Computer Fundamental</v>
      </c>
      <c r="F12" s="41" t="str" cm="1">
        <f t="array" ref="F12">IFERROR(INDEX($B$9:$B$35, SMALL(IF($A$9:$A$35=$A12, ROW($A$9:$A$35)-ROW($A$9)+1), 2)), "")</f>
        <v>Python</v>
      </c>
      <c r="G12" s="41" t="str" cm="1">
        <f t="array" ref="G12">IFERROR(INDEX($B$9:$B$35, SMALL(IF($A$9:$A$35=$A12, ROW($A$9:$A$35)-ROW($A$9)+1), 3)), "")</f>
        <v/>
      </c>
      <c r="H12" s="41" t="str" cm="1">
        <f t="array" ref="H12">IFERROR(INDEX($B$9:$B$35, SMALL(IF($A$9:$A$35=$A12, ROW($A$9:$A$35)-ROW($A$9)+1), 4)), "")</f>
        <v/>
      </c>
      <c r="I12" s="41" t="str" cm="1">
        <f t="array" ref="I12">IFERROR(INDEX($B$9:$B$35, SMALL(IF($A$9:$A$35=$A12, ROW($A$9:$A$35)-ROW($A$9)+1), 5)), "")</f>
        <v/>
      </c>
    </row>
    <row r="13" spans="1:13" x14ac:dyDescent="0.2">
      <c r="A13" s="44">
        <v>202256790</v>
      </c>
      <c r="B13" s="44" t="s">
        <v>1115</v>
      </c>
      <c r="D13" s="44">
        <v>202256793</v>
      </c>
      <c r="E13" s="41" t="str" cm="1">
        <f t="array" ref="E13">IFERROR(INDEX($B$9:$B$35, SMALL(IF($A$9:$A$35=$A13, ROW($A$9:$A$35)-ROW($A$9)+1), 1)), "")</f>
        <v>Computer Fundamental</v>
      </c>
      <c r="F13" s="41" t="str" cm="1">
        <f t="array" ref="F13">IFERROR(INDEX($B$9:$B$35, SMALL(IF($A$9:$A$35=$A13, ROW($A$9:$A$35)-ROW($A$9)+1), 2)), "")</f>
        <v>Python</v>
      </c>
      <c r="G13" s="41" t="str" cm="1">
        <f t="array" ref="G13">IFERROR(INDEX($B$9:$B$35, SMALL(IF($A$9:$A$35=$A13, ROW($A$9:$A$35)-ROW($A$9)+1), 3)), "")</f>
        <v/>
      </c>
      <c r="H13" s="41" t="str" cm="1">
        <f t="array" ref="H13">IFERROR(INDEX($B$9:$B$35, SMALL(IF($A$9:$A$35=$A13, ROW($A$9:$A$35)-ROW($A$9)+1), 4)), "")</f>
        <v/>
      </c>
      <c r="I13" s="41" t="str" cm="1">
        <f t="array" ref="I13">IFERROR(INDEX($B$9:$B$35, SMALL(IF($A$9:$A$35=$A13, ROW($A$9:$A$35)-ROW($A$9)+1), 5)), "")</f>
        <v/>
      </c>
    </row>
    <row r="14" spans="1:13" x14ac:dyDescent="0.2">
      <c r="A14" s="44">
        <v>202256791</v>
      </c>
      <c r="B14" s="44" t="s">
        <v>1111</v>
      </c>
      <c r="D14" s="44">
        <v>202256797</v>
      </c>
      <c r="E14" s="41" t="str" cm="1">
        <f t="array" ref="E14">IFERROR(INDEX($B$9:$B$35, SMALL(IF($A$9:$A$35=$A14, ROW($A$9:$A$35)-ROW($A$9)+1), 1)), "")</f>
        <v>Cloud Security</v>
      </c>
      <c r="F14" s="41" t="str" cm="1">
        <f t="array" ref="F14">IFERROR(INDEX($B$9:$B$35, SMALL(IF($A$9:$A$35=$A14, ROW($A$9:$A$35)-ROW($A$9)+1), 2)), "")</f>
        <v>Web security</v>
      </c>
      <c r="G14" s="41" t="str" cm="1">
        <f t="array" ref="G14">IFERROR(INDEX($B$9:$B$35, SMALL(IF($A$9:$A$35=$A14, ROW($A$9:$A$35)-ROW($A$9)+1), 3)), "")</f>
        <v>Cryptography</v>
      </c>
      <c r="H14" s="41" t="str" cm="1">
        <f t="array" ref="H14">IFERROR(INDEX($B$9:$B$35, SMALL(IF($A$9:$A$35=$A14, ROW($A$9:$A$35)-ROW($A$9)+1), 4)), "")</f>
        <v>Computer Fundamental</v>
      </c>
      <c r="I14" s="41" t="str" cm="1">
        <f t="array" ref="I14">IFERROR(INDEX($B$9:$B$35, SMALL(IF($A$9:$A$35=$A14, ROW($A$9:$A$35)-ROW($A$9)+1), 5)), "")</f>
        <v>Python</v>
      </c>
    </row>
    <row r="15" spans="1:13" x14ac:dyDescent="0.2">
      <c r="A15" s="44">
        <v>202256791</v>
      </c>
      <c r="B15" s="44" t="s">
        <v>1112</v>
      </c>
      <c r="D15" s="44">
        <v>202256800</v>
      </c>
      <c r="E15" s="41" t="str" cm="1">
        <f t="array" ref="E15">IFERROR(INDEX($B$9:$B$35, SMALL(IF($A$9:$A$35=$A15, ROW($A$9:$A$35)-ROW($A$9)+1), 1)), "")</f>
        <v>Cloud Security</v>
      </c>
      <c r="F15" s="41" t="str" cm="1">
        <f t="array" ref="F15">IFERROR(INDEX($B$9:$B$35, SMALL(IF($A$9:$A$35=$A15, ROW($A$9:$A$35)-ROW($A$9)+1), 2)), "")</f>
        <v>Web security</v>
      </c>
      <c r="G15" s="41" t="str" cm="1">
        <f t="array" ref="G15">IFERROR(INDEX($B$9:$B$35, SMALL(IF($A$9:$A$35=$A15, ROW($A$9:$A$35)-ROW($A$9)+1), 3)), "")</f>
        <v>Cryptography</v>
      </c>
      <c r="H15" s="41" t="str" cm="1">
        <f t="array" ref="H15">IFERROR(INDEX($B$9:$B$35, SMALL(IF($A$9:$A$35=$A15, ROW($A$9:$A$35)-ROW($A$9)+1), 4)), "")</f>
        <v>Computer Fundamental</v>
      </c>
      <c r="I15" s="41" t="str" cm="1">
        <f t="array" ref="I15">IFERROR(INDEX($B$9:$B$35, SMALL(IF($A$9:$A$35=$A15, ROW($A$9:$A$35)-ROW($A$9)+1), 5)), "")</f>
        <v>Python</v>
      </c>
    </row>
    <row r="16" spans="1:13" x14ac:dyDescent="0.2">
      <c r="A16" s="44">
        <v>202256791</v>
      </c>
      <c r="B16" s="44" t="s">
        <v>1113</v>
      </c>
      <c r="D16" s="44">
        <v>202256802</v>
      </c>
      <c r="E16" s="41" t="str" cm="1">
        <f t="array" ref="E16">IFERROR(INDEX($B$9:$B$35, SMALL(IF($A$9:$A$35=$A16, ROW($A$9:$A$35)-ROW($A$9)+1), 1)), "")</f>
        <v>Cloud Security</v>
      </c>
      <c r="F16" s="41" t="str" cm="1">
        <f t="array" ref="F16">IFERROR(INDEX($B$9:$B$35, SMALL(IF($A$9:$A$35=$A16, ROW($A$9:$A$35)-ROW($A$9)+1), 2)), "")</f>
        <v>Web security</v>
      </c>
      <c r="G16" s="41" t="str" cm="1">
        <f t="array" ref="G16">IFERROR(INDEX($B$9:$B$35, SMALL(IF($A$9:$A$35=$A16, ROW($A$9:$A$35)-ROW($A$9)+1), 3)), "")</f>
        <v>Cryptography</v>
      </c>
      <c r="H16" s="41" t="str" cm="1">
        <f t="array" ref="H16">IFERROR(INDEX($B$9:$B$35, SMALL(IF($A$9:$A$35=$A16, ROW($A$9:$A$35)-ROW($A$9)+1), 4)), "")</f>
        <v>Computer Fundamental</v>
      </c>
      <c r="I16" s="41" t="str" cm="1">
        <f t="array" ref="I16">IFERROR(INDEX($B$9:$B$35, SMALL(IF($A$9:$A$35=$A16, ROW($A$9:$A$35)-ROW($A$9)+1), 5)), "")</f>
        <v>Python</v>
      </c>
    </row>
    <row r="17" spans="1:9" x14ac:dyDescent="0.2">
      <c r="A17" s="44">
        <v>202256791</v>
      </c>
      <c r="B17" s="44" t="s">
        <v>1114</v>
      </c>
      <c r="D17" s="44">
        <v>202256803</v>
      </c>
      <c r="E17" s="41" t="str" cm="1">
        <f t="array" ref="E17">IFERROR(INDEX($B$9:$B$35, SMALL(IF($A$9:$A$35=$A17, ROW($A$9:$A$35)-ROW($A$9)+1), 1)), "")</f>
        <v>Cloud Security</v>
      </c>
      <c r="F17" s="41" t="str" cm="1">
        <f t="array" ref="F17">IFERROR(INDEX($B$9:$B$35, SMALL(IF($A$9:$A$35=$A17, ROW($A$9:$A$35)-ROW($A$9)+1), 2)), "")</f>
        <v>Web security</v>
      </c>
      <c r="G17" s="41" t="str" cm="1">
        <f t="array" ref="G17">IFERROR(INDEX($B$9:$B$35, SMALL(IF($A$9:$A$35=$A17, ROW($A$9:$A$35)-ROW($A$9)+1), 3)), "")</f>
        <v>Cryptography</v>
      </c>
      <c r="H17" s="41" t="str" cm="1">
        <f t="array" ref="H17">IFERROR(INDEX($B$9:$B$35, SMALL(IF($A$9:$A$35=$A17, ROW($A$9:$A$35)-ROW($A$9)+1), 4)), "")</f>
        <v>Computer Fundamental</v>
      </c>
      <c r="I17" s="41" t="str" cm="1">
        <f t="array" ref="I17">IFERROR(INDEX($B$9:$B$35, SMALL(IF($A$9:$A$35=$A17, ROW($A$9:$A$35)-ROW($A$9)+1), 5)), "")</f>
        <v>Python</v>
      </c>
    </row>
    <row r="18" spans="1:9" x14ac:dyDescent="0.2">
      <c r="A18" s="44">
        <v>202256791</v>
      </c>
      <c r="B18" s="44" t="s">
        <v>1115</v>
      </c>
      <c r="D18" s="44">
        <v>202256804</v>
      </c>
      <c r="E18" s="41" t="str" cm="1">
        <f t="array" ref="E18">IFERROR(INDEX($B$9:$B$35, SMALL(IF($A$9:$A$35=$A18, ROW($A$9:$A$35)-ROW($A$9)+1), 1)), "")</f>
        <v>Cloud Security</v>
      </c>
      <c r="F18" s="41" t="str" cm="1">
        <f t="array" ref="F18">IFERROR(INDEX($B$9:$B$35, SMALL(IF($A$9:$A$35=$A18, ROW($A$9:$A$35)-ROW($A$9)+1), 2)), "")</f>
        <v>Web security</v>
      </c>
      <c r="G18" s="41" t="str" cm="1">
        <f t="array" ref="G18">IFERROR(INDEX($B$9:$B$35, SMALL(IF($A$9:$A$35=$A18, ROW($A$9:$A$35)-ROW($A$9)+1), 3)), "")</f>
        <v>Cryptography</v>
      </c>
      <c r="H18" s="41" t="str" cm="1">
        <f t="array" ref="H18">IFERROR(INDEX($B$9:$B$35, SMALL(IF($A$9:$A$35=$A18, ROW($A$9:$A$35)-ROW($A$9)+1), 4)), "")</f>
        <v>Computer Fundamental</v>
      </c>
      <c r="I18" s="41" t="str" cm="1">
        <f t="array" ref="I18">IFERROR(INDEX($B$9:$B$35, SMALL(IF($A$9:$A$35=$A18, ROW($A$9:$A$35)-ROW($A$9)+1), 5)), "")</f>
        <v>Python</v>
      </c>
    </row>
    <row r="19" spans="1:9" x14ac:dyDescent="0.2">
      <c r="A19" s="44">
        <v>202256792</v>
      </c>
      <c r="B19" s="44" t="s">
        <v>1111</v>
      </c>
      <c r="D19" s="44">
        <v>202256805</v>
      </c>
      <c r="E19" s="41" t="str" cm="1">
        <f t="array" ref="E19">IFERROR(INDEX($B$9:$B$35, SMALL(IF($A$9:$A$35=$A19, ROW($A$9:$A$35)-ROW($A$9)+1), 1)), "")</f>
        <v>Cloud Security</v>
      </c>
      <c r="F19" s="41" t="str" cm="1">
        <f t="array" ref="F19">IFERROR(INDEX($B$9:$B$35, SMALL(IF($A$9:$A$35=$A19, ROW($A$9:$A$35)-ROW($A$9)+1), 2)), "")</f>
        <v>Web security</v>
      </c>
      <c r="G19" s="41" t="str" cm="1">
        <f t="array" ref="G19">IFERROR(INDEX($B$9:$B$35, SMALL(IF($A$9:$A$35=$A19, ROW($A$9:$A$35)-ROW($A$9)+1), 3)), "")</f>
        <v/>
      </c>
      <c r="H19" s="41" t="str" cm="1">
        <f t="array" ref="H19">IFERROR(INDEX($B$9:$B$35, SMALL(IF($A$9:$A$35=$A19, ROW($A$9:$A$35)-ROW($A$9)+1), 4)), "")</f>
        <v/>
      </c>
      <c r="I19" s="41" t="str" cm="1">
        <f t="array" ref="I19">IFERROR(INDEX($B$9:$B$35, SMALL(IF($A$9:$A$35=$A19, ROW($A$9:$A$35)-ROW($A$9)+1), 5)), "")</f>
        <v/>
      </c>
    </row>
    <row r="20" spans="1:9" ht="15" x14ac:dyDescent="0.25">
      <c r="A20" s="44">
        <v>202256792</v>
      </c>
      <c r="B20" s="44" t="s">
        <v>1112</v>
      </c>
      <c r="D20"/>
      <c r="F20"/>
    </row>
    <row r="21" spans="1:9" ht="15" x14ac:dyDescent="0.25">
      <c r="A21" s="44">
        <v>202256793</v>
      </c>
      <c r="B21" s="44" t="s">
        <v>1113</v>
      </c>
      <c r="D21"/>
      <c r="F21"/>
    </row>
    <row r="22" spans="1:9" ht="15" x14ac:dyDescent="0.25">
      <c r="A22" s="44">
        <v>202256793</v>
      </c>
      <c r="B22" s="44" t="s">
        <v>1114</v>
      </c>
      <c r="D22" s="87" t="s">
        <v>1121</v>
      </c>
      <c r="E22" s="87"/>
      <c r="F22" s="87"/>
      <c r="G22" s="87"/>
      <c r="H22" s="87"/>
      <c r="I22" s="87"/>
    </row>
    <row r="23" spans="1:9" ht="15" x14ac:dyDescent="0.25">
      <c r="A23" s="44">
        <v>202256793</v>
      </c>
      <c r="B23" s="44" t="s">
        <v>1115</v>
      </c>
      <c r="D23" s="1"/>
      <c r="E23" s="41"/>
      <c r="F23" s="1"/>
      <c r="G23" s="41"/>
      <c r="H23" s="41"/>
      <c r="I23" s="41"/>
    </row>
    <row r="24" spans="1:9" x14ac:dyDescent="0.2">
      <c r="A24" s="44">
        <v>202256797</v>
      </c>
      <c r="B24" s="44" t="s">
        <v>1111</v>
      </c>
      <c r="D24" s="42" t="s">
        <v>1109</v>
      </c>
      <c r="E24" s="43" t="s">
        <v>1116</v>
      </c>
      <c r="F24" s="43" t="s">
        <v>1117</v>
      </c>
      <c r="G24" s="43" t="s">
        <v>1118</v>
      </c>
      <c r="H24" s="43" t="s">
        <v>1119</v>
      </c>
      <c r="I24" s="43" t="s">
        <v>1120</v>
      </c>
    </row>
    <row r="25" spans="1:9" x14ac:dyDescent="0.2">
      <c r="A25" s="44">
        <v>202256797</v>
      </c>
      <c r="B25" s="44" t="s">
        <v>1112</v>
      </c>
      <c r="D25" s="44">
        <v>202256789</v>
      </c>
      <c r="E25" s="44" t="s">
        <v>1111</v>
      </c>
      <c r="F25" s="44" t="s">
        <v>1112</v>
      </c>
      <c r="G25" s="44" t="s">
        <v>1113</v>
      </c>
      <c r="H25" s="41"/>
      <c r="I25" s="41"/>
    </row>
    <row r="26" spans="1:9" x14ac:dyDescent="0.2">
      <c r="A26" s="44">
        <v>202256797</v>
      </c>
      <c r="B26" s="44" t="s">
        <v>1113</v>
      </c>
      <c r="D26" s="44">
        <v>202256790</v>
      </c>
      <c r="E26" s="44" t="s">
        <v>1114</v>
      </c>
      <c r="F26" s="44" t="s">
        <v>1115</v>
      </c>
      <c r="G26" s="41"/>
      <c r="H26" s="41"/>
      <c r="I26" s="41"/>
    </row>
    <row r="27" spans="1:9" x14ac:dyDescent="0.2">
      <c r="A27" s="44">
        <v>202256800</v>
      </c>
      <c r="B27" s="44" t="s">
        <v>1114</v>
      </c>
      <c r="D27" s="44">
        <v>202256791</v>
      </c>
      <c r="E27" s="44" t="s">
        <v>1111</v>
      </c>
      <c r="F27" s="44" t="s">
        <v>1112</v>
      </c>
      <c r="G27" s="44" t="s">
        <v>1113</v>
      </c>
      <c r="H27" s="44" t="s">
        <v>1114</v>
      </c>
      <c r="I27" s="44" t="s">
        <v>1115</v>
      </c>
    </row>
    <row r="28" spans="1:9" x14ac:dyDescent="0.2">
      <c r="A28" s="44">
        <v>202256800</v>
      </c>
      <c r="B28" s="44" t="s">
        <v>1115</v>
      </c>
      <c r="D28" s="40"/>
    </row>
    <row r="29" spans="1:9" x14ac:dyDescent="0.2">
      <c r="A29" s="44">
        <v>202256802</v>
      </c>
      <c r="B29" s="44" t="s">
        <v>1111</v>
      </c>
      <c r="D29" s="40"/>
    </row>
    <row r="30" spans="1:9" ht="15" x14ac:dyDescent="0.25">
      <c r="A30" s="44">
        <v>202256803</v>
      </c>
      <c r="B30" s="44" t="s">
        <v>1112</v>
      </c>
      <c r="D30" s="40"/>
      <c r="F30"/>
    </row>
    <row r="31" spans="1:9" ht="15" x14ac:dyDescent="0.25">
      <c r="A31" s="44">
        <v>202256804</v>
      </c>
      <c r="B31" s="44" t="s">
        <v>1113</v>
      </c>
      <c r="D31" s="40"/>
      <c r="F31"/>
    </row>
    <row r="32" spans="1:9" ht="15" x14ac:dyDescent="0.25">
      <c r="A32" s="44">
        <v>202256805</v>
      </c>
      <c r="B32" s="44" t="s">
        <v>1114</v>
      </c>
      <c r="D32" s="40"/>
      <c r="F32"/>
    </row>
    <row r="33" spans="1:6" ht="15" x14ac:dyDescent="0.25">
      <c r="A33" s="44">
        <v>202256805</v>
      </c>
      <c r="B33" s="44" t="s">
        <v>1115</v>
      </c>
      <c r="D33" s="40"/>
      <c r="F33"/>
    </row>
    <row r="34" spans="1:6" ht="15" x14ac:dyDescent="0.25">
      <c r="A34" s="44">
        <v>202256805</v>
      </c>
      <c r="B34" s="44" t="s">
        <v>1111</v>
      </c>
      <c r="D34" s="40"/>
      <c r="F34"/>
    </row>
    <row r="35" spans="1:6" ht="15" x14ac:dyDescent="0.25">
      <c r="A35" s="44">
        <v>202256805</v>
      </c>
      <c r="B35" s="44" t="s">
        <v>1112</v>
      </c>
      <c r="D35" s="40"/>
      <c r="F35"/>
    </row>
  </sheetData>
  <mergeCells count="3">
    <mergeCell ref="D22:I22"/>
    <mergeCell ref="A7:B7"/>
    <mergeCell ref="D7:I7"/>
  </mergeCells>
  <phoneticPr fontId="16" type="noConversion"/>
  <hyperlinks>
    <hyperlink ref="M6" location="P!A1" display="NEXT QUESTION" xr:uid="{6C8FF696-185E-4F0C-8763-27C4DADDD046}"/>
    <hyperlink ref="I4" location="Q!A1" display="NEXT QUESTION" xr:uid="{638B73FF-7905-4A30-8EFB-C369388B5AEC}"/>
  </hyperlinks>
  <pageMargins left="0.75" right="0.75" top="1" bottom="1" header="0.5" footer="0.5"/>
  <pageSetup paperSize="9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26ABB-B41D-4B9E-8F79-B80E7A52AF8B}">
  <sheetPr codeName="Sheet20"/>
  <dimension ref="A4:K29"/>
  <sheetViews>
    <sheetView showGridLines="0" topLeftCell="A7" workbookViewId="0">
      <selection activeCell="F25" sqref="F25"/>
    </sheetView>
  </sheetViews>
  <sheetFormatPr defaultColWidth="8.85546875" defaultRowHeight="12.75" x14ac:dyDescent="0.2"/>
  <cols>
    <col min="1" max="1" width="13.42578125" style="36" bestFit="1" customWidth="1"/>
    <col min="2" max="2" width="10.140625" style="36" bestFit="1" customWidth="1"/>
    <col min="3" max="3" width="10.5703125" style="36" bestFit="1" customWidth="1"/>
    <col min="4" max="4" width="14.7109375" style="36" bestFit="1" customWidth="1"/>
    <col min="5" max="5" width="18.42578125" style="36" bestFit="1" customWidth="1"/>
    <col min="6" max="6" width="17.140625" style="36" bestFit="1" customWidth="1"/>
    <col min="7" max="7" width="13.7109375" style="36" bestFit="1" customWidth="1"/>
    <col min="8" max="8" width="12.7109375" style="36" bestFit="1" customWidth="1"/>
    <col min="9" max="9" width="15.5703125" style="36" bestFit="1" customWidth="1"/>
    <col min="10" max="10" width="21.140625" style="36" bestFit="1" customWidth="1"/>
    <col min="11" max="11" width="21.85546875" style="36" bestFit="1" customWidth="1"/>
    <col min="12" max="16384" width="8.85546875" style="36"/>
  </cols>
  <sheetData>
    <row r="4" spans="1:11" ht="15" x14ac:dyDescent="0.25">
      <c r="K4" s="7" t="s">
        <v>9</v>
      </c>
    </row>
    <row r="5" spans="1:11" x14ac:dyDescent="0.2">
      <c r="A5" s="38" t="s">
        <v>1224</v>
      </c>
    </row>
    <row r="7" spans="1:11" x14ac:dyDescent="0.2">
      <c r="A7" s="58" t="s">
        <v>1126</v>
      </c>
      <c r="B7" s="58" t="s">
        <v>1127</v>
      </c>
      <c r="C7" s="58" t="s">
        <v>1136</v>
      </c>
      <c r="D7" s="58" t="s">
        <v>1137</v>
      </c>
      <c r="E7" s="58" t="s">
        <v>1197</v>
      </c>
      <c r="F7" s="58" t="s">
        <v>1128</v>
      </c>
      <c r="G7" s="58" t="s">
        <v>1129</v>
      </c>
      <c r="H7" s="58" t="s">
        <v>1130</v>
      </c>
      <c r="I7" s="58" t="s">
        <v>1131</v>
      </c>
      <c r="J7" s="58" t="s">
        <v>1124</v>
      </c>
      <c r="K7" s="58" t="s">
        <v>1125</v>
      </c>
    </row>
    <row r="8" spans="1:11" x14ac:dyDescent="0.2">
      <c r="A8" s="44">
        <v>202256790</v>
      </c>
      <c r="B8" s="41" t="s">
        <v>1133</v>
      </c>
      <c r="C8" s="47">
        <v>42458</v>
      </c>
      <c r="D8" s="41">
        <v>1</v>
      </c>
      <c r="E8" s="41" t="s">
        <v>1132</v>
      </c>
      <c r="F8" s="41" t="s">
        <v>1133</v>
      </c>
      <c r="G8" s="41" t="s">
        <v>1132</v>
      </c>
      <c r="H8" s="41" t="s">
        <v>1133</v>
      </c>
      <c r="I8" s="41" t="s">
        <v>1132</v>
      </c>
      <c r="J8" s="41" t="s">
        <v>1133</v>
      </c>
      <c r="K8" s="41" t="s">
        <v>1132</v>
      </c>
    </row>
    <row r="9" spans="1:11" x14ac:dyDescent="0.2">
      <c r="A9" s="44">
        <v>202256789</v>
      </c>
      <c r="B9" s="41" t="s">
        <v>1133</v>
      </c>
      <c r="C9" s="47">
        <v>40227</v>
      </c>
      <c r="D9" s="41">
        <v>0</v>
      </c>
      <c r="E9" s="41" t="s">
        <v>1132</v>
      </c>
      <c r="F9" s="41" t="s">
        <v>1133</v>
      </c>
      <c r="G9" s="41" t="s">
        <v>1132</v>
      </c>
      <c r="H9" s="41" t="s">
        <v>1133</v>
      </c>
      <c r="I9" s="41" t="s">
        <v>1132</v>
      </c>
      <c r="J9" s="41" t="s">
        <v>1133</v>
      </c>
      <c r="K9" s="41" t="s">
        <v>1132</v>
      </c>
    </row>
    <row r="10" spans="1:11" x14ac:dyDescent="0.2">
      <c r="A10" s="44">
        <v>202256791</v>
      </c>
      <c r="B10" s="41" t="s">
        <v>1133</v>
      </c>
      <c r="C10" s="47">
        <v>43242</v>
      </c>
      <c r="D10" s="41">
        <v>0</v>
      </c>
      <c r="E10" s="41" t="s">
        <v>1132</v>
      </c>
      <c r="F10" s="41" t="s">
        <v>1133</v>
      </c>
      <c r="G10" s="41" t="s">
        <v>1132</v>
      </c>
      <c r="H10" s="41" t="s">
        <v>1133</v>
      </c>
      <c r="I10" s="41" t="s">
        <v>1132</v>
      </c>
      <c r="J10" s="41" t="s">
        <v>1133</v>
      </c>
      <c r="K10" s="41" t="s">
        <v>1132</v>
      </c>
    </row>
    <row r="11" spans="1:11" x14ac:dyDescent="0.2">
      <c r="A11" s="44">
        <v>202256789</v>
      </c>
      <c r="B11" s="41" t="s">
        <v>1133</v>
      </c>
      <c r="C11" s="47">
        <v>42054</v>
      </c>
      <c r="D11" s="41">
        <v>1</v>
      </c>
      <c r="E11" s="41" t="s">
        <v>1132</v>
      </c>
      <c r="F11" s="41" t="s">
        <v>1133</v>
      </c>
      <c r="G11" s="41" t="s">
        <v>1132</v>
      </c>
      <c r="H11" s="41" t="s">
        <v>1133</v>
      </c>
      <c r="I11" s="41" t="s">
        <v>1132</v>
      </c>
      <c r="J11" s="41" t="s">
        <v>1133</v>
      </c>
      <c r="K11" s="41" t="s">
        <v>1132</v>
      </c>
    </row>
    <row r="12" spans="1:11" x14ac:dyDescent="0.2">
      <c r="A12" s="44">
        <v>202256790</v>
      </c>
      <c r="B12" s="41" t="s">
        <v>1133</v>
      </c>
      <c r="C12" s="47">
        <v>40661</v>
      </c>
      <c r="D12" s="41">
        <v>0</v>
      </c>
      <c r="E12" s="41" t="s">
        <v>1132</v>
      </c>
      <c r="F12" s="41" t="s">
        <v>1133</v>
      </c>
      <c r="G12" s="41" t="s">
        <v>1132</v>
      </c>
      <c r="H12" s="41" t="s">
        <v>1133</v>
      </c>
      <c r="I12" s="41" t="s">
        <v>1132</v>
      </c>
      <c r="J12" s="41" t="s">
        <v>1133</v>
      </c>
      <c r="K12" s="41" t="s">
        <v>1132</v>
      </c>
    </row>
    <row r="13" spans="1:11" x14ac:dyDescent="0.2">
      <c r="A13" s="44">
        <v>202256789</v>
      </c>
      <c r="B13" s="41" t="s">
        <v>1133</v>
      </c>
      <c r="C13" s="47">
        <v>42786</v>
      </c>
      <c r="D13" s="41">
        <v>2</v>
      </c>
      <c r="E13" s="41" t="s">
        <v>1132</v>
      </c>
      <c r="F13" s="41" t="s">
        <v>1133</v>
      </c>
      <c r="G13" s="41" t="s">
        <v>1132</v>
      </c>
      <c r="H13" s="41" t="s">
        <v>1133</v>
      </c>
      <c r="I13" s="41" t="s">
        <v>1132</v>
      </c>
      <c r="J13" s="41" t="s">
        <v>1133</v>
      </c>
      <c r="K13" s="41" t="s">
        <v>1132</v>
      </c>
    </row>
    <row r="14" spans="1:11" x14ac:dyDescent="0.2">
      <c r="A14" s="44">
        <v>202256791</v>
      </c>
      <c r="B14" s="41" t="s">
        <v>1133</v>
      </c>
      <c r="C14" s="47">
        <v>43545</v>
      </c>
      <c r="D14" s="41">
        <v>1</v>
      </c>
      <c r="E14" s="41" t="s">
        <v>1132</v>
      </c>
      <c r="F14" s="41" t="s">
        <v>1133</v>
      </c>
      <c r="G14" s="41" t="s">
        <v>1132</v>
      </c>
      <c r="H14" s="41" t="s">
        <v>1133</v>
      </c>
      <c r="I14" s="41" t="s">
        <v>1132</v>
      </c>
      <c r="J14" s="41" t="s">
        <v>1133</v>
      </c>
      <c r="K14" s="41" t="s">
        <v>1132</v>
      </c>
    </row>
    <row r="20" spans="1:11" x14ac:dyDescent="0.2">
      <c r="A20" s="89" t="s">
        <v>1225</v>
      </c>
      <c r="B20" s="89"/>
      <c r="C20" s="89"/>
    </row>
    <row r="22" spans="1:11" x14ac:dyDescent="0.2">
      <c r="A22" s="95" t="s">
        <v>1126</v>
      </c>
      <c r="B22" s="95" t="s">
        <v>1127</v>
      </c>
      <c r="C22" s="95" t="s">
        <v>1136</v>
      </c>
      <c r="D22" s="95" t="s">
        <v>1137</v>
      </c>
      <c r="E22" s="95" t="s">
        <v>1197</v>
      </c>
      <c r="F22" s="95" t="s">
        <v>1128</v>
      </c>
      <c r="G22" s="95" t="s">
        <v>1129</v>
      </c>
      <c r="H22" s="95" t="s">
        <v>1130</v>
      </c>
      <c r="I22" s="95" t="s">
        <v>1131</v>
      </c>
      <c r="J22" s="95" t="s">
        <v>1124</v>
      </c>
      <c r="K22" s="95" t="s">
        <v>1125</v>
      </c>
    </row>
    <row r="23" spans="1:11" x14ac:dyDescent="0.2">
      <c r="A23" s="44">
        <v>202256791</v>
      </c>
      <c r="B23" s="41" t="s">
        <v>1133</v>
      </c>
      <c r="C23" s="47">
        <v>43545</v>
      </c>
      <c r="D23" s="41">
        <v>1</v>
      </c>
      <c r="E23" s="41" t="s">
        <v>1132</v>
      </c>
      <c r="F23" s="41" t="s">
        <v>1133</v>
      </c>
      <c r="G23" s="41" t="s">
        <v>1132</v>
      </c>
      <c r="H23" s="41" t="s">
        <v>1133</v>
      </c>
      <c r="I23" s="41" t="s">
        <v>1132</v>
      </c>
      <c r="J23" s="41" t="s">
        <v>1133</v>
      </c>
      <c r="K23" s="41" t="s">
        <v>1132</v>
      </c>
    </row>
    <row r="24" spans="1:11" x14ac:dyDescent="0.2">
      <c r="A24" s="44">
        <v>202256791</v>
      </c>
      <c r="B24" s="41" t="s">
        <v>1133</v>
      </c>
      <c r="C24" s="47">
        <v>43242</v>
      </c>
      <c r="D24" s="41">
        <v>0</v>
      </c>
      <c r="E24" s="41" t="s">
        <v>1132</v>
      </c>
      <c r="F24" s="41" t="s">
        <v>1133</v>
      </c>
      <c r="G24" s="41" t="s">
        <v>1132</v>
      </c>
      <c r="H24" s="41" t="s">
        <v>1133</v>
      </c>
      <c r="I24" s="41" t="s">
        <v>1132</v>
      </c>
      <c r="J24" s="41" t="s">
        <v>1133</v>
      </c>
      <c r="K24" s="41" t="s">
        <v>1132</v>
      </c>
    </row>
    <row r="25" spans="1:11" x14ac:dyDescent="0.2">
      <c r="A25" s="44">
        <v>202256790</v>
      </c>
      <c r="B25" s="41" t="s">
        <v>1133</v>
      </c>
      <c r="C25" s="47">
        <v>42458</v>
      </c>
      <c r="D25" s="41">
        <v>1</v>
      </c>
      <c r="E25" s="41" t="s">
        <v>1132</v>
      </c>
      <c r="F25" s="41" t="s">
        <v>1133</v>
      </c>
      <c r="G25" s="41" t="s">
        <v>1132</v>
      </c>
      <c r="H25" s="41" t="s">
        <v>1133</v>
      </c>
      <c r="I25" s="41" t="s">
        <v>1132</v>
      </c>
      <c r="J25" s="41" t="s">
        <v>1133</v>
      </c>
      <c r="K25" s="41" t="s">
        <v>1132</v>
      </c>
    </row>
    <row r="26" spans="1:11" x14ac:dyDescent="0.2">
      <c r="A26" s="44">
        <v>202256790</v>
      </c>
      <c r="B26" s="41" t="s">
        <v>1133</v>
      </c>
      <c r="C26" s="47">
        <v>40661</v>
      </c>
      <c r="D26" s="41">
        <v>0</v>
      </c>
      <c r="E26" s="41" t="s">
        <v>1132</v>
      </c>
      <c r="F26" s="41" t="s">
        <v>1133</v>
      </c>
      <c r="G26" s="41" t="s">
        <v>1132</v>
      </c>
      <c r="H26" s="41" t="s">
        <v>1133</v>
      </c>
      <c r="I26" s="41" t="s">
        <v>1132</v>
      </c>
      <c r="J26" s="41" t="s">
        <v>1133</v>
      </c>
      <c r="K26" s="41" t="s">
        <v>1132</v>
      </c>
    </row>
    <row r="27" spans="1:11" x14ac:dyDescent="0.2">
      <c r="A27" s="44">
        <v>202256789</v>
      </c>
      <c r="B27" s="41" t="s">
        <v>1133</v>
      </c>
      <c r="C27" s="47">
        <v>42786</v>
      </c>
      <c r="D27" s="41">
        <v>2</v>
      </c>
      <c r="E27" s="41" t="s">
        <v>1132</v>
      </c>
      <c r="F27" s="41" t="s">
        <v>1133</v>
      </c>
      <c r="G27" s="41" t="s">
        <v>1132</v>
      </c>
      <c r="H27" s="41" t="s">
        <v>1133</v>
      </c>
      <c r="I27" s="41" t="s">
        <v>1132</v>
      </c>
      <c r="J27" s="41" t="s">
        <v>1133</v>
      </c>
      <c r="K27" s="41" t="s">
        <v>1132</v>
      </c>
    </row>
    <row r="28" spans="1:11" x14ac:dyDescent="0.2">
      <c r="A28" s="44">
        <v>202256789</v>
      </c>
      <c r="B28" s="41" t="s">
        <v>1133</v>
      </c>
      <c r="C28" s="47">
        <v>42054</v>
      </c>
      <c r="D28" s="41">
        <v>1</v>
      </c>
      <c r="E28" s="41" t="s">
        <v>1132</v>
      </c>
      <c r="F28" s="41" t="s">
        <v>1133</v>
      </c>
      <c r="G28" s="41" t="s">
        <v>1132</v>
      </c>
      <c r="H28" s="41" t="s">
        <v>1133</v>
      </c>
      <c r="I28" s="41" t="s">
        <v>1132</v>
      </c>
      <c r="J28" s="41" t="s">
        <v>1133</v>
      </c>
      <c r="K28" s="41" t="s">
        <v>1132</v>
      </c>
    </row>
    <row r="29" spans="1:11" x14ac:dyDescent="0.2">
      <c r="A29" s="44">
        <v>202256789</v>
      </c>
      <c r="B29" s="41" t="s">
        <v>1133</v>
      </c>
      <c r="C29" s="47">
        <v>40227</v>
      </c>
      <c r="D29" s="41">
        <v>0</v>
      </c>
      <c r="E29" s="41" t="s">
        <v>1132</v>
      </c>
      <c r="F29" s="41" t="s">
        <v>1133</v>
      </c>
      <c r="G29" s="41" t="s">
        <v>1132</v>
      </c>
      <c r="H29" s="41" t="s">
        <v>1133</v>
      </c>
      <c r="I29" s="41" t="s">
        <v>1132</v>
      </c>
      <c r="J29" s="41" t="s">
        <v>1133</v>
      </c>
      <c r="K29" s="41" t="s">
        <v>1132</v>
      </c>
    </row>
  </sheetData>
  <sortState xmlns:xlrd2="http://schemas.microsoft.com/office/spreadsheetml/2017/richdata2" ref="A23:K29">
    <sortCondition descending="1" ref="A23:A29"/>
    <sortCondition descending="1" ref="C23:C29"/>
    <sortCondition descending="1" ref="D23:D29"/>
  </sortState>
  <mergeCells count="1">
    <mergeCell ref="A20:C20"/>
  </mergeCells>
  <hyperlinks>
    <hyperlink ref="K4" location="'R'!A1" display="NEXT QUESTION" xr:uid="{5E7F1E89-67EC-4743-88AF-194BBE44B3A7}"/>
  </hyperlinks>
  <pageMargins left="0.75" right="0.75" top="1" bottom="1" header="0.5" footer="0.5"/>
  <pageSetup paperSize="9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16CCC-3B2C-440A-AFDA-41AAC82A8918}">
  <dimension ref="A4:O40"/>
  <sheetViews>
    <sheetView showGridLines="0" topLeftCell="A4" workbookViewId="0">
      <selection activeCell="C11" sqref="C11"/>
    </sheetView>
  </sheetViews>
  <sheetFormatPr defaultRowHeight="15" x14ac:dyDescent="0.25"/>
  <cols>
    <col min="1" max="1" width="25.42578125" bestFit="1" customWidth="1"/>
    <col min="2" max="2" width="10.85546875" bestFit="1" customWidth="1"/>
    <col min="3" max="3" width="14.5703125" bestFit="1" customWidth="1"/>
    <col min="6" max="6" width="2.5703125" bestFit="1" customWidth="1"/>
    <col min="7" max="7" width="13" bestFit="1" customWidth="1"/>
    <col min="8" max="8" width="10.5703125" bestFit="1" customWidth="1"/>
    <col min="9" max="9" width="12.5703125" bestFit="1" customWidth="1"/>
  </cols>
  <sheetData>
    <row r="4" spans="1:15" x14ac:dyDescent="0.25">
      <c r="O4" s="7" t="s">
        <v>9</v>
      </c>
    </row>
    <row r="6" spans="1:15" x14ac:dyDescent="0.25">
      <c r="A6" s="38" t="s">
        <v>1243</v>
      </c>
    </row>
    <row r="7" spans="1:15" x14ac:dyDescent="0.25">
      <c r="A7" s="38" t="s">
        <v>1244</v>
      </c>
    </row>
    <row r="9" spans="1:15" x14ac:dyDescent="0.25">
      <c r="A9" s="59" t="s">
        <v>1187</v>
      </c>
      <c r="B9" s="59"/>
      <c r="F9" s="59" t="s">
        <v>1186</v>
      </c>
      <c r="G9" s="59"/>
      <c r="H9" s="59"/>
    </row>
    <row r="10" spans="1:15" x14ac:dyDescent="0.25">
      <c r="A10" s="49" t="s">
        <v>1151</v>
      </c>
      <c r="B10" s="53" t="s">
        <v>1152</v>
      </c>
      <c r="C10" s="55"/>
      <c r="F10" s="50" t="s">
        <v>181</v>
      </c>
      <c r="G10" s="49" t="s">
        <v>1160</v>
      </c>
      <c r="H10" s="49" t="s">
        <v>1159</v>
      </c>
    </row>
    <row r="11" spans="1:15" x14ac:dyDescent="0.25">
      <c r="A11" s="51" t="s">
        <v>1175</v>
      </c>
      <c r="B11" s="54">
        <f>VLOOKUP(TRIM(MID(A11,FIND(" ",A11,FIND(" ",A11)+1),4)),$G$11:$H$16,2,FALSE)</f>
        <v>120</v>
      </c>
      <c r="C11" s="56" t="str">
        <f>MID(A11,FIND(" ",A11,FIND(" ",A11)+1),4)</f>
        <v xml:space="preserve"> CM </v>
      </c>
      <c r="F11" s="52">
        <v>1</v>
      </c>
      <c r="G11" s="51" t="s">
        <v>1153</v>
      </c>
      <c r="H11" s="51">
        <v>50</v>
      </c>
    </row>
    <row r="12" spans="1:15" x14ac:dyDescent="0.25">
      <c r="A12" s="51" t="s">
        <v>1182</v>
      </c>
      <c r="B12" s="54">
        <f t="shared" ref="B12:B40" si="0">VLOOKUP(TRIM(MID(A12,FIND(" ",A12,FIND(" ",A12)+1),4)),$G$11:$H$16,2,FALSE)</f>
        <v>250</v>
      </c>
      <c r="C12" s="56" t="str">
        <f t="shared" ref="C12:C40" si="1">MID(A12,FIND(" ",A12,FIND(" ",A12)+1),4)</f>
        <v xml:space="preserve"> CXO</v>
      </c>
      <c r="F12" s="52">
        <v>2</v>
      </c>
      <c r="G12" s="51" t="s">
        <v>1154</v>
      </c>
      <c r="H12" s="51">
        <v>60</v>
      </c>
    </row>
    <row r="13" spans="1:15" x14ac:dyDescent="0.25">
      <c r="A13" s="51" t="s">
        <v>1180</v>
      </c>
      <c r="B13" s="54">
        <f t="shared" si="0"/>
        <v>150</v>
      </c>
      <c r="C13" s="56" t="str">
        <f t="shared" si="1"/>
        <v xml:space="preserve"> RM </v>
      </c>
      <c r="F13" s="52">
        <v>3</v>
      </c>
      <c r="G13" s="51" t="s">
        <v>1155</v>
      </c>
      <c r="H13" s="51">
        <v>75</v>
      </c>
    </row>
    <row r="14" spans="1:15" x14ac:dyDescent="0.25">
      <c r="A14" s="51" t="s">
        <v>1161</v>
      </c>
      <c r="B14" s="54">
        <f t="shared" si="0"/>
        <v>50</v>
      </c>
      <c r="C14" s="56" t="str">
        <f t="shared" si="1"/>
        <v xml:space="preserve"> AM </v>
      </c>
      <c r="F14" s="52">
        <v>4</v>
      </c>
      <c r="G14" s="51" t="s">
        <v>1156</v>
      </c>
      <c r="H14" s="51">
        <v>120</v>
      </c>
    </row>
    <row r="15" spans="1:15" x14ac:dyDescent="0.25">
      <c r="A15" s="51" t="s">
        <v>1228</v>
      </c>
      <c r="B15" s="54">
        <f t="shared" si="0"/>
        <v>50</v>
      </c>
      <c r="C15" s="56" t="str">
        <f t="shared" si="1"/>
        <v xml:space="preserve"> AM </v>
      </c>
      <c r="F15" s="52">
        <v>5</v>
      </c>
      <c r="G15" s="51" t="s">
        <v>1157</v>
      </c>
      <c r="H15" s="51">
        <v>150</v>
      </c>
    </row>
    <row r="16" spans="1:15" x14ac:dyDescent="0.25">
      <c r="A16" s="51" t="s">
        <v>1183</v>
      </c>
      <c r="B16" s="54">
        <f t="shared" si="0"/>
        <v>60</v>
      </c>
      <c r="C16" s="56" t="str">
        <f t="shared" si="1"/>
        <v xml:space="preserve"> PM </v>
      </c>
      <c r="F16" s="52">
        <v>6</v>
      </c>
      <c r="G16" s="51" t="s">
        <v>1158</v>
      </c>
      <c r="H16" s="51">
        <v>250</v>
      </c>
    </row>
    <row r="17" spans="1:3" x14ac:dyDescent="0.25">
      <c r="A17" s="51" t="s">
        <v>1176</v>
      </c>
      <c r="B17" s="54">
        <f t="shared" si="0"/>
        <v>50</v>
      </c>
      <c r="C17" s="56" t="str">
        <f t="shared" si="1"/>
        <v xml:space="preserve"> AM </v>
      </c>
    </row>
    <row r="18" spans="1:3" x14ac:dyDescent="0.25">
      <c r="A18" s="51" t="s">
        <v>1169</v>
      </c>
      <c r="B18" s="54">
        <f t="shared" si="0"/>
        <v>150</v>
      </c>
      <c r="C18" s="56" t="str">
        <f t="shared" si="1"/>
        <v xml:space="preserve"> RM </v>
      </c>
    </row>
    <row r="19" spans="1:3" x14ac:dyDescent="0.25">
      <c r="A19" s="51" t="s">
        <v>1162</v>
      </c>
      <c r="B19" s="54">
        <f t="shared" si="0"/>
        <v>50</v>
      </c>
      <c r="C19" s="56" t="str">
        <f t="shared" si="1"/>
        <v xml:space="preserve"> AM </v>
      </c>
    </row>
    <row r="20" spans="1:3" x14ac:dyDescent="0.25">
      <c r="A20" s="51" t="s">
        <v>1172</v>
      </c>
      <c r="B20" s="54">
        <f t="shared" si="0"/>
        <v>75</v>
      </c>
      <c r="C20" s="56" t="str">
        <f t="shared" si="1"/>
        <v xml:space="preserve"> FM </v>
      </c>
    </row>
    <row r="21" spans="1:3" x14ac:dyDescent="0.25">
      <c r="A21" s="51" t="s">
        <v>1226</v>
      </c>
      <c r="B21" s="54">
        <f t="shared" si="0"/>
        <v>250</v>
      </c>
      <c r="C21" s="56" t="str">
        <f t="shared" si="1"/>
        <v xml:space="preserve"> CXO</v>
      </c>
    </row>
    <row r="22" spans="1:3" x14ac:dyDescent="0.25">
      <c r="A22" s="51" t="s">
        <v>1177</v>
      </c>
      <c r="B22" s="54">
        <f t="shared" si="0"/>
        <v>50</v>
      </c>
      <c r="C22" s="56" t="str">
        <f t="shared" si="1"/>
        <v xml:space="preserve"> AM </v>
      </c>
    </row>
    <row r="23" spans="1:3" x14ac:dyDescent="0.25">
      <c r="A23" s="51" t="s">
        <v>1173</v>
      </c>
      <c r="B23" s="54">
        <f t="shared" si="0"/>
        <v>75</v>
      </c>
      <c r="C23" s="56" t="str">
        <f t="shared" si="1"/>
        <v xml:space="preserve"> FM </v>
      </c>
    </row>
    <row r="24" spans="1:3" x14ac:dyDescent="0.25">
      <c r="A24" s="51" t="s">
        <v>1163</v>
      </c>
      <c r="B24" s="54">
        <f t="shared" si="0"/>
        <v>50</v>
      </c>
      <c r="C24" s="56" t="str">
        <f t="shared" si="1"/>
        <v xml:space="preserve"> AM </v>
      </c>
    </row>
    <row r="25" spans="1:3" x14ac:dyDescent="0.25">
      <c r="A25" s="51" t="s">
        <v>1178</v>
      </c>
      <c r="B25" s="54">
        <f t="shared" si="0"/>
        <v>120</v>
      </c>
      <c r="C25" s="56" t="str">
        <f t="shared" si="1"/>
        <v xml:space="preserve"> CM </v>
      </c>
    </row>
    <row r="26" spans="1:3" x14ac:dyDescent="0.25">
      <c r="A26" s="51" t="s">
        <v>1229</v>
      </c>
      <c r="B26" s="54">
        <f t="shared" si="0"/>
        <v>120</v>
      </c>
      <c r="C26" s="56" t="str">
        <f t="shared" si="1"/>
        <v xml:space="preserve"> CM </v>
      </c>
    </row>
    <row r="27" spans="1:3" x14ac:dyDescent="0.25">
      <c r="A27" s="51" t="s">
        <v>1174</v>
      </c>
      <c r="B27" s="54">
        <f t="shared" si="0"/>
        <v>75</v>
      </c>
      <c r="C27" s="56" t="str">
        <f t="shared" si="1"/>
        <v xml:space="preserve"> FM </v>
      </c>
    </row>
    <row r="28" spans="1:3" x14ac:dyDescent="0.25">
      <c r="A28" s="51" t="s">
        <v>1170</v>
      </c>
      <c r="B28" s="54">
        <f t="shared" si="0"/>
        <v>60</v>
      </c>
      <c r="C28" s="56" t="str">
        <f t="shared" si="1"/>
        <v xml:space="preserve"> PM </v>
      </c>
    </row>
    <row r="29" spans="1:3" x14ac:dyDescent="0.25">
      <c r="A29" s="51" t="s">
        <v>1184</v>
      </c>
      <c r="B29" s="54">
        <f t="shared" si="0"/>
        <v>60</v>
      </c>
      <c r="C29" s="56" t="str">
        <f t="shared" si="1"/>
        <v xml:space="preserve"> PM </v>
      </c>
    </row>
    <row r="30" spans="1:3" x14ac:dyDescent="0.25">
      <c r="A30" s="51" t="s">
        <v>1230</v>
      </c>
      <c r="B30" s="54">
        <f t="shared" si="0"/>
        <v>60</v>
      </c>
      <c r="C30" s="56" t="str">
        <f t="shared" si="1"/>
        <v xml:space="preserve"> PM </v>
      </c>
    </row>
    <row r="31" spans="1:3" x14ac:dyDescent="0.25">
      <c r="A31" s="51" t="s">
        <v>1185</v>
      </c>
      <c r="B31" s="54">
        <f t="shared" si="0"/>
        <v>150</v>
      </c>
      <c r="C31" s="56" t="str">
        <f t="shared" si="1"/>
        <v xml:space="preserve"> RM </v>
      </c>
    </row>
    <row r="32" spans="1:3" x14ac:dyDescent="0.25">
      <c r="A32" s="51" t="s">
        <v>1181</v>
      </c>
      <c r="B32" s="54">
        <f t="shared" si="0"/>
        <v>150</v>
      </c>
      <c r="C32" s="56" t="str">
        <f t="shared" si="1"/>
        <v xml:space="preserve"> RM </v>
      </c>
    </row>
    <row r="33" spans="1:3" x14ac:dyDescent="0.25">
      <c r="A33" s="51" t="s">
        <v>1164</v>
      </c>
      <c r="B33" s="54">
        <f t="shared" si="0"/>
        <v>120</v>
      </c>
      <c r="C33" s="56" t="str">
        <f t="shared" si="1"/>
        <v xml:space="preserve"> CM </v>
      </c>
    </row>
    <row r="34" spans="1:3" x14ac:dyDescent="0.25">
      <c r="A34" s="51" t="s">
        <v>1227</v>
      </c>
      <c r="B34" s="54">
        <f t="shared" si="0"/>
        <v>250</v>
      </c>
      <c r="C34" s="56" t="str">
        <f t="shared" si="1"/>
        <v xml:space="preserve"> CXO</v>
      </c>
    </row>
    <row r="35" spans="1:3" x14ac:dyDescent="0.25">
      <c r="A35" s="51" t="s">
        <v>1179</v>
      </c>
      <c r="B35" s="54">
        <f t="shared" si="0"/>
        <v>60</v>
      </c>
      <c r="C35" s="56" t="str">
        <f t="shared" si="1"/>
        <v xml:space="preserve"> PM </v>
      </c>
    </row>
    <row r="36" spans="1:3" x14ac:dyDescent="0.25">
      <c r="A36" s="51" t="s">
        <v>1165</v>
      </c>
      <c r="B36" s="54">
        <f t="shared" si="0"/>
        <v>150</v>
      </c>
      <c r="C36" s="56" t="str">
        <f t="shared" si="1"/>
        <v xml:space="preserve"> RM </v>
      </c>
    </row>
    <row r="37" spans="1:3" x14ac:dyDescent="0.25">
      <c r="A37" s="51" t="s">
        <v>1166</v>
      </c>
      <c r="B37" s="54">
        <f t="shared" si="0"/>
        <v>60</v>
      </c>
      <c r="C37" s="56" t="str">
        <f t="shared" si="1"/>
        <v xml:space="preserve"> PM </v>
      </c>
    </row>
    <row r="38" spans="1:3" x14ac:dyDescent="0.25">
      <c r="A38" s="51" t="s">
        <v>1171</v>
      </c>
      <c r="B38" s="54">
        <f t="shared" si="0"/>
        <v>250</v>
      </c>
      <c r="C38" s="56" t="str">
        <f t="shared" si="1"/>
        <v xml:space="preserve"> CXO</v>
      </c>
    </row>
    <row r="39" spans="1:3" x14ac:dyDescent="0.25">
      <c r="A39" s="51" t="s">
        <v>1167</v>
      </c>
      <c r="B39" s="54">
        <f t="shared" si="0"/>
        <v>150</v>
      </c>
      <c r="C39" s="56" t="str">
        <f t="shared" si="1"/>
        <v xml:space="preserve"> RM </v>
      </c>
    </row>
    <row r="40" spans="1:3" x14ac:dyDescent="0.25">
      <c r="A40" s="51" t="s">
        <v>1168</v>
      </c>
      <c r="B40" s="54">
        <f t="shared" si="0"/>
        <v>150</v>
      </c>
      <c r="C40" s="56" t="str">
        <f t="shared" si="1"/>
        <v xml:space="preserve"> RM </v>
      </c>
    </row>
  </sheetData>
  <hyperlinks>
    <hyperlink ref="O4" location="'S-1'!A1" display="NEXT QUESTION" xr:uid="{44610934-AEC1-403E-898E-BA0200C2024D}"/>
  </hyperlink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C5C39-19C5-42C7-B4BF-0E9A2E1C72AA}">
  <sheetPr codeName="Sheet22"/>
  <dimension ref="A4:K13"/>
  <sheetViews>
    <sheetView showGridLines="0" workbookViewId="0">
      <selection activeCell="A6" sqref="A6:K13"/>
    </sheetView>
  </sheetViews>
  <sheetFormatPr defaultColWidth="8.85546875" defaultRowHeight="12.75" x14ac:dyDescent="0.2"/>
  <cols>
    <col min="1" max="1" width="13.42578125" style="36" bestFit="1" customWidth="1"/>
    <col min="2" max="2" width="10.140625" style="36" bestFit="1" customWidth="1"/>
    <col min="3" max="3" width="10.5703125" style="36" bestFit="1" customWidth="1"/>
    <col min="4" max="4" width="14.7109375" style="36" bestFit="1" customWidth="1"/>
    <col min="5" max="5" width="18.42578125" style="36" bestFit="1" customWidth="1"/>
    <col min="6" max="6" width="17.140625" style="36" bestFit="1" customWidth="1"/>
    <col min="7" max="7" width="13.7109375" style="36" bestFit="1" customWidth="1"/>
    <col min="8" max="8" width="12.7109375" style="36" bestFit="1" customWidth="1"/>
    <col min="9" max="9" width="15.5703125" style="36" bestFit="1" customWidth="1"/>
    <col min="10" max="10" width="21.140625" style="36" bestFit="1" customWidth="1"/>
    <col min="11" max="11" width="21.85546875" style="36" bestFit="1" customWidth="1"/>
    <col min="12" max="16384" width="8.85546875" style="36"/>
  </cols>
  <sheetData>
    <row r="4" spans="1:11" ht="15" x14ac:dyDescent="0.25">
      <c r="K4" s="7" t="s">
        <v>9</v>
      </c>
    </row>
    <row r="5" spans="1:11" x14ac:dyDescent="0.2">
      <c r="A5" s="38" t="s">
        <v>1149</v>
      </c>
    </row>
    <row r="6" spans="1:11" x14ac:dyDescent="0.2">
      <c r="A6" s="58" t="s">
        <v>1126</v>
      </c>
      <c r="B6" s="58" t="s">
        <v>1127</v>
      </c>
      <c r="C6" s="58" t="s">
        <v>1136</v>
      </c>
      <c r="D6" s="58" t="s">
        <v>1137</v>
      </c>
      <c r="E6" s="58" t="s">
        <v>1197</v>
      </c>
      <c r="F6" s="58" t="s">
        <v>1128</v>
      </c>
      <c r="G6" s="58" t="s">
        <v>1129</v>
      </c>
      <c r="H6" s="58" t="s">
        <v>1130</v>
      </c>
      <c r="I6" s="58" t="s">
        <v>1131</v>
      </c>
      <c r="J6" s="58" t="s">
        <v>1124</v>
      </c>
      <c r="K6" s="58" t="s">
        <v>1125</v>
      </c>
    </row>
    <row r="7" spans="1:11" x14ac:dyDescent="0.2">
      <c r="A7" s="44">
        <v>202256790</v>
      </c>
      <c r="B7" s="41" t="s">
        <v>1133</v>
      </c>
      <c r="C7" s="47">
        <v>42458</v>
      </c>
      <c r="D7" s="41">
        <v>1</v>
      </c>
      <c r="E7" s="41" t="s">
        <v>1132</v>
      </c>
      <c r="F7" s="41" t="s">
        <v>1134</v>
      </c>
      <c r="G7" s="41">
        <v>123</v>
      </c>
      <c r="H7" s="41" t="s">
        <v>1133</v>
      </c>
      <c r="I7" s="41">
        <v>101</v>
      </c>
      <c r="J7" s="41" t="s">
        <v>1133</v>
      </c>
      <c r="K7" s="41" t="s">
        <v>1132</v>
      </c>
    </row>
    <row r="8" spans="1:11" x14ac:dyDescent="0.2">
      <c r="A8" s="44">
        <v>202256789</v>
      </c>
      <c r="B8" s="41" t="s">
        <v>1133</v>
      </c>
      <c r="C8" s="47">
        <v>40227</v>
      </c>
      <c r="D8" s="41">
        <v>0</v>
      </c>
      <c r="E8" s="41" t="s">
        <v>1132</v>
      </c>
      <c r="F8" s="41" t="s">
        <v>1134</v>
      </c>
      <c r="G8" s="41">
        <v>123</v>
      </c>
      <c r="H8" s="41" t="s">
        <v>1133</v>
      </c>
      <c r="I8" s="41">
        <v>101</v>
      </c>
      <c r="J8" s="41" t="s">
        <v>1133</v>
      </c>
      <c r="K8" s="41" t="s">
        <v>1132</v>
      </c>
    </row>
    <row r="9" spans="1:11" x14ac:dyDescent="0.2">
      <c r="A9" s="44">
        <v>202256791</v>
      </c>
      <c r="B9" s="41" t="s">
        <v>1133</v>
      </c>
      <c r="C9" s="47">
        <v>43242</v>
      </c>
      <c r="D9" s="41">
        <v>0</v>
      </c>
      <c r="E9" s="41" t="s">
        <v>1132</v>
      </c>
      <c r="F9" s="41" t="s">
        <v>1134</v>
      </c>
      <c r="G9" s="41">
        <v>123</v>
      </c>
      <c r="H9" s="41" t="s">
        <v>1133</v>
      </c>
      <c r="I9" s="41">
        <v>101</v>
      </c>
      <c r="J9" s="41" t="s">
        <v>1133</v>
      </c>
      <c r="K9" s="41" t="s">
        <v>1132</v>
      </c>
    </row>
    <row r="10" spans="1:11" x14ac:dyDescent="0.2">
      <c r="A10" s="44">
        <v>202256789</v>
      </c>
      <c r="B10" s="41" t="s">
        <v>1133</v>
      </c>
      <c r="C10" s="47">
        <v>42054</v>
      </c>
      <c r="D10" s="41">
        <v>1</v>
      </c>
      <c r="E10" s="41" t="s">
        <v>1132</v>
      </c>
      <c r="F10" s="41" t="s">
        <v>1134</v>
      </c>
      <c r="G10" s="41">
        <v>123</v>
      </c>
      <c r="H10" s="41" t="s">
        <v>1133</v>
      </c>
      <c r="I10" s="41">
        <v>101</v>
      </c>
      <c r="J10" s="41" t="s">
        <v>1133</v>
      </c>
      <c r="K10" s="41" t="s">
        <v>1132</v>
      </c>
    </row>
    <row r="11" spans="1:11" x14ac:dyDescent="0.2">
      <c r="A11" s="44">
        <v>202256790</v>
      </c>
      <c r="B11" s="41" t="s">
        <v>1133</v>
      </c>
      <c r="C11" s="47">
        <v>40661</v>
      </c>
      <c r="D11" s="41">
        <v>0</v>
      </c>
      <c r="E11" s="41" t="s">
        <v>1132</v>
      </c>
      <c r="F11" s="41" t="s">
        <v>1134</v>
      </c>
      <c r="G11" s="41">
        <v>123</v>
      </c>
      <c r="H11" s="41" t="s">
        <v>1133</v>
      </c>
      <c r="I11" s="41">
        <v>101</v>
      </c>
      <c r="J11" s="41" t="s">
        <v>1133</v>
      </c>
      <c r="K11" s="41" t="s">
        <v>1132</v>
      </c>
    </row>
    <row r="12" spans="1:11" x14ac:dyDescent="0.2">
      <c r="A12" s="44">
        <v>202256789</v>
      </c>
      <c r="B12" s="41" t="s">
        <v>1133</v>
      </c>
      <c r="C12" s="47">
        <v>42786</v>
      </c>
      <c r="D12" s="41">
        <v>2</v>
      </c>
      <c r="E12" s="41" t="s">
        <v>1132</v>
      </c>
      <c r="F12" s="41" t="s">
        <v>1134</v>
      </c>
      <c r="G12" s="41">
        <v>123</v>
      </c>
      <c r="H12" s="41" t="s">
        <v>1133</v>
      </c>
      <c r="I12" s="41">
        <v>101</v>
      </c>
      <c r="J12" s="41" t="s">
        <v>1133</v>
      </c>
      <c r="K12" s="41" t="s">
        <v>1132</v>
      </c>
    </row>
    <row r="13" spans="1:11" x14ac:dyDescent="0.2">
      <c r="A13" s="44">
        <v>202256791</v>
      </c>
      <c r="B13" s="41" t="s">
        <v>1133</v>
      </c>
      <c r="C13" s="47">
        <v>43545</v>
      </c>
      <c r="D13" s="41">
        <v>1</v>
      </c>
      <c r="E13" s="41" t="s">
        <v>1132</v>
      </c>
      <c r="F13" s="41" t="s">
        <v>1134</v>
      </c>
      <c r="G13" s="41">
        <v>123</v>
      </c>
      <c r="H13" s="41" t="s">
        <v>1133</v>
      </c>
      <c r="I13" s="41">
        <v>101</v>
      </c>
      <c r="J13" s="41" t="s">
        <v>1133</v>
      </c>
      <c r="K13" s="41" t="s">
        <v>1132</v>
      </c>
    </row>
  </sheetData>
  <hyperlinks>
    <hyperlink ref="K4" location="'S-2'!A1" display="NEXT QUESTION" xr:uid="{0D10876C-E36F-4771-8C4A-7DAB6998A6BA}"/>
  </hyperlinks>
  <pageMargins left="0.75" right="0.75" top="1" bottom="1" header="0.5" footer="0.5"/>
  <pageSetup paperSize="9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C9466-A6D4-4156-8D4C-D3B5F45CA488}">
  <sheetPr codeName="Sheet21"/>
  <dimension ref="A4:O34"/>
  <sheetViews>
    <sheetView showGridLines="0" tabSelected="1" topLeftCell="A7" workbookViewId="0">
      <selection activeCell="K25" sqref="K25"/>
    </sheetView>
  </sheetViews>
  <sheetFormatPr defaultColWidth="8.85546875" defaultRowHeight="12.75" x14ac:dyDescent="0.2"/>
  <cols>
    <col min="1" max="1" width="13.42578125" style="36" bestFit="1" customWidth="1"/>
    <col min="2" max="2" width="10.5703125" style="36" bestFit="1" customWidth="1"/>
    <col min="3" max="3" width="14.7109375" style="36" bestFit="1" customWidth="1"/>
    <col min="4" max="4" width="8.85546875" style="36"/>
    <col min="5" max="5" width="11.140625" style="36" bestFit="1" customWidth="1"/>
    <col min="6" max="6" width="8.85546875" style="36" bestFit="1" customWidth="1"/>
    <col min="7" max="7" width="12.42578125" style="36" bestFit="1" customWidth="1"/>
    <col min="8" max="16384" width="8.85546875" style="36"/>
  </cols>
  <sheetData>
    <row r="4" spans="1:15" ht="15" x14ac:dyDescent="0.25">
      <c r="O4" s="7" t="s">
        <v>9</v>
      </c>
    </row>
    <row r="5" spans="1:15" ht="15" x14ac:dyDescent="0.25">
      <c r="O5" s="7"/>
    </row>
    <row r="6" spans="1:15" ht="15" x14ac:dyDescent="0.25">
      <c r="O6" s="7"/>
    </row>
    <row r="7" spans="1:15" ht="15" x14ac:dyDescent="0.25">
      <c r="A7" s="58" t="s">
        <v>1126</v>
      </c>
      <c r="B7" s="58" t="s">
        <v>1127</v>
      </c>
      <c r="C7" s="58" t="s">
        <v>1136</v>
      </c>
      <c r="D7" s="58" t="s">
        <v>1137</v>
      </c>
      <c r="E7" s="58" t="s">
        <v>1197</v>
      </c>
      <c r="F7" s="58" t="s">
        <v>1128</v>
      </c>
      <c r="G7" s="58" t="s">
        <v>1129</v>
      </c>
      <c r="H7" s="58" t="s">
        <v>1130</v>
      </c>
      <c r="I7" s="58" t="s">
        <v>1131</v>
      </c>
      <c r="J7" s="58" t="s">
        <v>1124</v>
      </c>
      <c r="K7" s="58" t="s">
        <v>1125</v>
      </c>
      <c r="O7" s="7"/>
    </row>
    <row r="8" spans="1:15" ht="15" x14ac:dyDescent="0.25">
      <c r="A8" s="44">
        <v>202256790</v>
      </c>
      <c r="B8" s="41" t="s">
        <v>1133</v>
      </c>
      <c r="C8" s="47">
        <v>42458</v>
      </c>
      <c r="D8" s="41">
        <v>1</v>
      </c>
      <c r="E8" s="41" t="s">
        <v>1132</v>
      </c>
      <c r="F8" s="41" t="s">
        <v>1134</v>
      </c>
      <c r="G8" s="41">
        <v>123</v>
      </c>
      <c r="H8" s="41" t="s">
        <v>1133</v>
      </c>
      <c r="I8" s="41">
        <v>101</v>
      </c>
      <c r="J8" s="41" t="s">
        <v>1133</v>
      </c>
      <c r="K8" s="41" t="s">
        <v>1132</v>
      </c>
      <c r="O8" s="7"/>
    </row>
    <row r="9" spans="1:15" ht="15" x14ac:dyDescent="0.25">
      <c r="A9" s="44">
        <v>202256789</v>
      </c>
      <c r="B9" s="41" t="s">
        <v>1133</v>
      </c>
      <c r="C9" s="47">
        <v>40227</v>
      </c>
      <c r="D9" s="41">
        <v>0</v>
      </c>
      <c r="E9" s="41" t="s">
        <v>1132</v>
      </c>
      <c r="F9" s="41" t="s">
        <v>1134</v>
      </c>
      <c r="G9" s="41">
        <v>123</v>
      </c>
      <c r="H9" s="41" t="s">
        <v>1133</v>
      </c>
      <c r="I9" s="41">
        <v>101</v>
      </c>
      <c r="J9" s="41" t="s">
        <v>1133</v>
      </c>
      <c r="K9" s="41" t="s">
        <v>1132</v>
      </c>
      <c r="O9" s="7"/>
    </row>
    <row r="10" spans="1:15" ht="15" x14ac:dyDescent="0.25">
      <c r="A10" s="44">
        <v>202256791</v>
      </c>
      <c r="B10" s="41" t="s">
        <v>1133</v>
      </c>
      <c r="C10" s="47">
        <v>43242</v>
      </c>
      <c r="D10" s="41">
        <v>0</v>
      </c>
      <c r="E10" s="41" t="s">
        <v>1132</v>
      </c>
      <c r="F10" s="41" t="s">
        <v>1134</v>
      </c>
      <c r="G10" s="41">
        <v>123</v>
      </c>
      <c r="H10" s="41" t="s">
        <v>1133</v>
      </c>
      <c r="I10" s="41">
        <v>101</v>
      </c>
      <c r="J10" s="41" t="s">
        <v>1133</v>
      </c>
      <c r="K10" s="41" t="s">
        <v>1132</v>
      </c>
      <c r="O10" s="7"/>
    </row>
    <row r="11" spans="1:15" ht="15" x14ac:dyDescent="0.25">
      <c r="A11" s="44">
        <v>202256789</v>
      </c>
      <c r="B11" s="41" t="s">
        <v>1133</v>
      </c>
      <c r="C11" s="47">
        <v>42054</v>
      </c>
      <c r="D11" s="41">
        <v>1</v>
      </c>
      <c r="E11" s="41" t="s">
        <v>1132</v>
      </c>
      <c r="F11" s="41" t="s">
        <v>1134</v>
      </c>
      <c r="G11" s="41">
        <v>123</v>
      </c>
      <c r="H11" s="41" t="s">
        <v>1133</v>
      </c>
      <c r="I11" s="41">
        <v>101</v>
      </c>
      <c r="J11" s="41" t="s">
        <v>1133</v>
      </c>
      <c r="K11" s="41" t="s">
        <v>1132</v>
      </c>
      <c r="O11" s="7"/>
    </row>
    <row r="12" spans="1:15" ht="15" x14ac:dyDescent="0.25">
      <c r="A12" s="44">
        <v>202256790</v>
      </c>
      <c r="B12" s="41" t="s">
        <v>1133</v>
      </c>
      <c r="C12" s="47">
        <v>40661</v>
      </c>
      <c r="D12" s="41">
        <v>0</v>
      </c>
      <c r="E12" s="41" t="s">
        <v>1132</v>
      </c>
      <c r="F12" s="41" t="s">
        <v>1134</v>
      </c>
      <c r="G12" s="41">
        <v>123</v>
      </c>
      <c r="H12" s="41" t="s">
        <v>1133</v>
      </c>
      <c r="I12" s="41">
        <v>101</v>
      </c>
      <c r="J12" s="41" t="s">
        <v>1133</v>
      </c>
      <c r="K12" s="41" t="s">
        <v>1132</v>
      </c>
      <c r="O12" s="7"/>
    </row>
    <row r="13" spans="1:15" ht="15" x14ac:dyDescent="0.25">
      <c r="A13" s="44">
        <v>202256789</v>
      </c>
      <c r="B13" s="41" t="s">
        <v>1133</v>
      </c>
      <c r="C13" s="47">
        <v>42786</v>
      </c>
      <c r="D13" s="41">
        <v>2</v>
      </c>
      <c r="E13" s="41" t="s">
        <v>1132</v>
      </c>
      <c r="F13" s="41" t="s">
        <v>1134</v>
      </c>
      <c r="G13" s="41">
        <v>123</v>
      </c>
      <c r="H13" s="41" t="s">
        <v>1133</v>
      </c>
      <c r="I13" s="41">
        <v>101</v>
      </c>
      <c r="J13" s="41" t="s">
        <v>1133</v>
      </c>
      <c r="K13" s="41" t="s">
        <v>1132</v>
      </c>
      <c r="O13" s="7"/>
    </row>
    <row r="14" spans="1:15" ht="15" x14ac:dyDescent="0.25">
      <c r="A14" s="44">
        <v>202256791</v>
      </c>
      <c r="B14" s="41" t="s">
        <v>1133</v>
      </c>
      <c r="C14" s="47">
        <v>43545</v>
      </c>
      <c r="D14" s="41">
        <v>1</v>
      </c>
      <c r="E14" s="41" t="s">
        <v>1132</v>
      </c>
      <c r="F14" s="41" t="s">
        <v>1134</v>
      </c>
      <c r="G14" s="41">
        <v>123</v>
      </c>
      <c r="H14" s="41" t="s">
        <v>1133</v>
      </c>
      <c r="I14" s="41">
        <v>101</v>
      </c>
      <c r="J14" s="41" t="s">
        <v>1133</v>
      </c>
      <c r="K14" s="41" t="s">
        <v>1132</v>
      </c>
      <c r="O14" s="7"/>
    </row>
    <row r="15" spans="1:15" ht="15" x14ac:dyDescent="0.25">
      <c r="O15" s="7"/>
    </row>
    <row r="16" spans="1:15" x14ac:dyDescent="0.2">
      <c r="A16" s="38" t="s">
        <v>1138</v>
      </c>
    </row>
    <row r="17" spans="1:7" x14ac:dyDescent="0.2">
      <c r="A17" s="38"/>
    </row>
    <row r="18" spans="1:7" x14ac:dyDescent="0.2">
      <c r="A18" s="90" t="s">
        <v>1139</v>
      </c>
      <c r="B18" s="90"/>
      <c r="C18" s="90"/>
      <c r="E18" s="91"/>
      <c r="F18" s="91"/>
      <c r="G18" s="91"/>
    </row>
    <row r="19" spans="1:7" x14ac:dyDescent="0.2">
      <c r="A19" s="46" t="s">
        <v>1126</v>
      </c>
      <c r="B19" s="46" t="s">
        <v>1136</v>
      </c>
      <c r="C19" s="46" t="s">
        <v>1137</v>
      </c>
      <c r="E19" s="48"/>
      <c r="F19" s="48"/>
      <c r="G19" s="48"/>
    </row>
    <row r="20" spans="1:7" x14ac:dyDescent="0.2">
      <c r="A20" s="44">
        <v>202256789</v>
      </c>
      <c r="B20" s="47" cm="1">
        <f t="array" ref="B20">IFERROR(INDEX($C$8:$C$14, SMALL(IF($A$8:$A$14=$A8, ROW($A$8:$A$14)-ROW($A$8)+1), COLUMN()-COLUMN($A$7)+1)), "")</f>
        <v>40661</v>
      </c>
      <c r="C20" s="41"/>
      <c r="E20" s="40"/>
      <c r="F20" s="45"/>
      <c r="G20" s="40"/>
    </row>
    <row r="21" spans="1:7" x14ac:dyDescent="0.2">
      <c r="A21" s="44">
        <v>202256789</v>
      </c>
      <c r="B21" s="47" cm="1">
        <f t="array" ref="B21">IFERROR(INDEX($C$8:$C$14, SMALL(IF($A$8:$A$14=$A9, ROW($A$8:$A$14)-ROW($A$8)+1), COLUMN()-COLUMN($A$7)+1)), "")</f>
        <v>42054</v>
      </c>
      <c r="C21" s="41"/>
      <c r="E21" s="40"/>
      <c r="F21" s="45"/>
      <c r="G21" s="40"/>
    </row>
    <row r="22" spans="1:7" x14ac:dyDescent="0.2">
      <c r="A22" s="44">
        <v>202256789</v>
      </c>
      <c r="B22" s="47" cm="1">
        <f t="array" ref="B22">IFERROR(INDEX($C$8:$C$14, SMALL(IF($A$8:$A$14=$A10, ROW($A$8:$A$14)-ROW($A$8)+1), COLUMN()-COLUMN($A$7)+1)), "")</f>
        <v>43545</v>
      </c>
      <c r="C22" s="41"/>
      <c r="E22" s="40"/>
      <c r="F22" s="45"/>
      <c r="G22" s="40"/>
    </row>
    <row r="23" spans="1:7" x14ac:dyDescent="0.2">
      <c r="A23" s="44">
        <v>202256790</v>
      </c>
      <c r="B23" s="47" cm="1">
        <f t="array" ref="B23">IFERROR(INDEX($C$8:$C$14, SMALL(IF($A$8:$A$14=$A11, ROW($A$8:$A$14)-ROW($A$8)+1), COLUMN()-COLUMN($A$7)+1)), "")</f>
        <v>42054</v>
      </c>
      <c r="C23" s="41"/>
      <c r="E23" s="40"/>
      <c r="F23" s="45"/>
      <c r="G23" s="40"/>
    </row>
    <row r="24" spans="1:7" x14ac:dyDescent="0.2">
      <c r="A24" s="44">
        <v>202256790</v>
      </c>
      <c r="B24" s="47" cm="1">
        <f t="array" ref="B24">IFERROR(INDEX($C$8:$C$14, SMALL(IF($A$8:$A$14=$A12, ROW($A$8:$A$14)-ROW($A$8)+1), COLUMN()-COLUMN($A$7)+1)), "")</f>
        <v>40661</v>
      </c>
      <c r="C24" s="41"/>
      <c r="E24" s="40"/>
      <c r="F24" s="45"/>
      <c r="G24" s="40"/>
    </row>
    <row r="25" spans="1:7" x14ac:dyDescent="0.2">
      <c r="A25" s="44">
        <v>202256791</v>
      </c>
      <c r="B25" s="47" cm="1">
        <f t="array" ref="B25">IFERROR(INDEX($C$8:$C$14, SMALL(IF($A$8:$A$14=$A13, ROW($A$8:$A$14)-ROW($A$8)+1), COLUMN()-COLUMN($A$7)+1)), "")</f>
        <v>42054</v>
      </c>
      <c r="C25" s="41"/>
      <c r="E25" s="40"/>
      <c r="F25" s="45"/>
      <c r="G25" s="40"/>
    </row>
    <row r="26" spans="1:7" x14ac:dyDescent="0.2">
      <c r="A26" s="44">
        <v>202256791</v>
      </c>
      <c r="B26" s="47" cm="1">
        <f t="array" ref="B26">IFERROR(INDEX($C$8:$C$14, SMALL(IF($A$8:$A$14=$A14, ROW($A$8:$A$14)-ROW($A$8)+1), COLUMN()-COLUMN($A$7)+1)), "")</f>
        <v>43545</v>
      </c>
      <c r="C26" s="41"/>
      <c r="E26" s="40"/>
      <c r="F26" s="45"/>
      <c r="G26" s="40"/>
    </row>
    <row r="28" spans="1:7" x14ac:dyDescent="0.2">
      <c r="A28" s="38" t="s">
        <v>1140</v>
      </c>
    </row>
    <row r="29" spans="1:7" x14ac:dyDescent="0.2">
      <c r="A29" s="38"/>
    </row>
    <row r="30" spans="1:7" x14ac:dyDescent="0.2">
      <c r="A30" s="90" t="s">
        <v>1141</v>
      </c>
      <c r="B30" s="90"/>
      <c r="E30" s="91"/>
      <c r="F30" s="91"/>
    </row>
    <row r="31" spans="1:7" x14ac:dyDescent="0.2">
      <c r="A31" s="46" t="s">
        <v>1126</v>
      </c>
      <c r="B31" s="46" t="s">
        <v>1136</v>
      </c>
      <c r="E31" s="48"/>
      <c r="F31" s="48"/>
    </row>
    <row r="32" spans="1:7" x14ac:dyDescent="0.2">
      <c r="A32" s="44">
        <v>202256789</v>
      </c>
      <c r="B32" s="47"/>
      <c r="E32" s="40"/>
      <c r="F32" s="45"/>
    </row>
    <row r="33" spans="1:6" x14ac:dyDescent="0.2">
      <c r="A33" s="44">
        <v>202256790</v>
      </c>
      <c r="B33" s="47"/>
      <c r="E33" s="40"/>
      <c r="F33" s="45"/>
    </row>
    <row r="34" spans="1:6" x14ac:dyDescent="0.2">
      <c r="A34" s="44">
        <v>202256791</v>
      </c>
      <c r="B34" s="47"/>
      <c r="E34" s="40"/>
      <c r="F34" s="45"/>
    </row>
  </sheetData>
  <sortState xmlns:xlrd2="http://schemas.microsoft.com/office/spreadsheetml/2017/richdata2" ref="A20:C26">
    <sortCondition ref="A20:A26"/>
  </sortState>
  <mergeCells count="4">
    <mergeCell ref="A18:C18"/>
    <mergeCell ref="A30:B30"/>
    <mergeCell ref="E18:G18"/>
    <mergeCell ref="E30:F30"/>
  </mergeCells>
  <hyperlinks>
    <hyperlink ref="O4" location="T!A1" display="NEXT QUESTION" xr:uid="{4108953F-1293-4ACA-8938-B194BF19E3A9}"/>
  </hyperlinks>
  <pageMargins left="0.75" right="0.75" top="1" bottom="1" header="0.5" footer="0.5"/>
  <pageSetup paperSize="9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42B03-2BFA-420E-91DA-71B1830623EA}">
  <sheetPr codeName="Sheet25"/>
  <dimension ref="A4:K13"/>
  <sheetViews>
    <sheetView showGridLines="0" workbookViewId="0">
      <selection activeCell="G18" sqref="G18"/>
    </sheetView>
  </sheetViews>
  <sheetFormatPr defaultColWidth="8.85546875" defaultRowHeight="12.75" x14ac:dyDescent="0.2"/>
  <cols>
    <col min="1" max="1" width="13.42578125" style="36" bestFit="1" customWidth="1"/>
    <col min="2" max="2" width="10.140625" style="36" bestFit="1" customWidth="1"/>
    <col min="3" max="3" width="10.5703125" style="36" bestFit="1" customWidth="1"/>
    <col min="4" max="4" width="14.7109375" style="36" bestFit="1" customWidth="1"/>
    <col min="5" max="5" width="18.42578125" style="36" bestFit="1" customWidth="1"/>
    <col min="6" max="6" width="17.140625" style="36" bestFit="1" customWidth="1"/>
    <col min="7" max="7" width="13.7109375" style="36" bestFit="1" customWidth="1"/>
    <col min="8" max="8" width="12.7109375" style="36" bestFit="1" customWidth="1"/>
    <col min="9" max="9" width="15.5703125" style="36" bestFit="1" customWidth="1"/>
    <col min="10" max="10" width="21.140625" style="36" bestFit="1" customWidth="1"/>
    <col min="11" max="11" width="21.85546875" style="36" bestFit="1" customWidth="1"/>
    <col min="12" max="16384" width="8.85546875" style="36"/>
  </cols>
  <sheetData>
    <row r="4" spans="1:11" ht="15" x14ac:dyDescent="0.25">
      <c r="K4" s="7" t="s">
        <v>9</v>
      </c>
    </row>
    <row r="5" spans="1:11" x14ac:dyDescent="0.2">
      <c r="A5" s="38" t="s">
        <v>1150</v>
      </c>
    </row>
    <row r="6" spans="1:11" x14ac:dyDescent="0.2">
      <c r="A6" s="58" t="s">
        <v>1126</v>
      </c>
      <c r="B6" s="58" t="s">
        <v>1127</v>
      </c>
      <c r="C6" s="58" t="s">
        <v>1136</v>
      </c>
      <c r="D6" s="58" t="s">
        <v>1137</v>
      </c>
      <c r="E6" s="58" t="s">
        <v>1197</v>
      </c>
      <c r="F6" s="58" t="s">
        <v>1128</v>
      </c>
      <c r="G6" s="58" t="s">
        <v>1129</v>
      </c>
      <c r="H6" s="58" t="s">
        <v>1130</v>
      </c>
      <c r="I6" s="58" t="s">
        <v>1131</v>
      </c>
      <c r="J6" s="58" t="s">
        <v>1124</v>
      </c>
      <c r="K6" s="58" t="s">
        <v>1125</v>
      </c>
    </row>
    <row r="7" spans="1:11" x14ac:dyDescent="0.2">
      <c r="A7" s="44">
        <v>202256790</v>
      </c>
      <c r="B7" s="41" t="s">
        <v>1132</v>
      </c>
      <c r="C7" s="47">
        <v>42458</v>
      </c>
      <c r="D7" s="41">
        <v>1</v>
      </c>
      <c r="E7" s="41" t="s">
        <v>1134</v>
      </c>
      <c r="F7" s="41" t="s">
        <v>1143</v>
      </c>
      <c r="G7" s="41" t="s">
        <v>1134</v>
      </c>
      <c r="H7" s="41" t="s">
        <v>1135</v>
      </c>
      <c r="I7" s="41" t="s">
        <v>1134</v>
      </c>
      <c r="J7" s="41" t="s">
        <v>1143</v>
      </c>
      <c r="K7" s="41" t="s">
        <v>1134</v>
      </c>
    </row>
    <row r="8" spans="1:11" x14ac:dyDescent="0.2">
      <c r="A8" s="44">
        <v>202256789</v>
      </c>
      <c r="B8" s="41" t="s">
        <v>1133</v>
      </c>
      <c r="C8" s="47">
        <v>40227</v>
      </c>
      <c r="D8" s="41">
        <v>0</v>
      </c>
      <c r="E8" s="41" t="s">
        <v>1135</v>
      </c>
      <c r="F8" s="41" t="s">
        <v>1144</v>
      </c>
      <c r="G8" s="41" t="s">
        <v>1135</v>
      </c>
      <c r="H8" s="41" t="s">
        <v>1142</v>
      </c>
      <c r="I8" s="41" t="s">
        <v>1135</v>
      </c>
      <c r="J8" s="41" t="s">
        <v>1144</v>
      </c>
      <c r="K8" s="41" t="s">
        <v>1135</v>
      </c>
    </row>
    <row r="9" spans="1:11" x14ac:dyDescent="0.2">
      <c r="A9" s="44">
        <v>202256791</v>
      </c>
      <c r="B9" s="41" t="s">
        <v>1134</v>
      </c>
      <c r="C9" s="47">
        <v>43242</v>
      </c>
      <c r="D9" s="41">
        <v>0</v>
      </c>
      <c r="E9" s="41" t="s">
        <v>1142</v>
      </c>
      <c r="F9" s="41" t="s">
        <v>1135</v>
      </c>
      <c r="G9" s="41" t="s">
        <v>1142</v>
      </c>
      <c r="H9" s="41" t="s">
        <v>1132</v>
      </c>
      <c r="I9" s="41" t="s">
        <v>1142</v>
      </c>
      <c r="J9" s="41" t="s">
        <v>1135</v>
      </c>
      <c r="K9" s="41" t="s">
        <v>1142</v>
      </c>
    </row>
    <row r="10" spans="1:11" x14ac:dyDescent="0.2">
      <c r="A10" s="44">
        <v>202256794</v>
      </c>
      <c r="B10" s="41" t="s">
        <v>1135</v>
      </c>
      <c r="C10" s="47">
        <v>42054</v>
      </c>
      <c r="D10" s="41">
        <v>1</v>
      </c>
      <c r="E10" s="41" t="s">
        <v>1143</v>
      </c>
      <c r="F10" s="41" t="s">
        <v>1142</v>
      </c>
      <c r="G10" s="41" t="s">
        <v>1132</v>
      </c>
      <c r="H10" s="41" t="s">
        <v>1142</v>
      </c>
      <c r="I10" s="41" t="s">
        <v>1143</v>
      </c>
      <c r="J10" s="41" t="s">
        <v>1142</v>
      </c>
      <c r="K10" s="41" t="s">
        <v>1132</v>
      </c>
    </row>
    <row r="11" spans="1:11" x14ac:dyDescent="0.2">
      <c r="A11" s="44">
        <v>202256796</v>
      </c>
      <c r="B11" s="41" t="s">
        <v>1142</v>
      </c>
      <c r="C11" s="47">
        <v>40661</v>
      </c>
      <c r="D11" s="41">
        <v>0</v>
      </c>
      <c r="E11" s="41" t="s">
        <v>1144</v>
      </c>
      <c r="F11" s="41" t="s">
        <v>1142</v>
      </c>
      <c r="G11" s="41" t="s">
        <v>1142</v>
      </c>
      <c r="H11" s="41" t="s">
        <v>1135</v>
      </c>
      <c r="I11" s="41" t="s">
        <v>1142</v>
      </c>
      <c r="J11" s="41" t="s">
        <v>1142</v>
      </c>
      <c r="K11" s="41" t="s">
        <v>1135</v>
      </c>
    </row>
    <row r="12" spans="1:11" x14ac:dyDescent="0.2">
      <c r="A12" s="44">
        <v>202256799</v>
      </c>
      <c r="B12" s="41" t="s">
        <v>1143</v>
      </c>
      <c r="C12" s="47">
        <v>42786</v>
      </c>
      <c r="D12" s="41">
        <v>2</v>
      </c>
      <c r="E12" s="41" t="s">
        <v>1132</v>
      </c>
      <c r="F12" s="41" t="s">
        <v>1144</v>
      </c>
      <c r="G12" s="41" t="s">
        <v>1143</v>
      </c>
      <c r="H12" s="41" t="s">
        <v>1142</v>
      </c>
      <c r="I12" s="41" t="s">
        <v>1144</v>
      </c>
      <c r="J12" s="41" t="s">
        <v>1143</v>
      </c>
      <c r="K12" s="41" t="s">
        <v>1142</v>
      </c>
    </row>
    <row r="13" spans="1:11" x14ac:dyDescent="0.2">
      <c r="A13" s="44">
        <v>202256767</v>
      </c>
      <c r="B13" s="41" t="s">
        <v>1144</v>
      </c>
      <c r="C13" s="47">
        <v>43545</v>
      </c>
      <c r="D13" s="41">
        <v>1</v>
      </c>
      <c r="E13" s="41" t="s">
        <v>1133</v>
      </c>
      <c r="F13" s="41" t="s">
        <v>1132</v>
      </c>
      <c r="G13" s="41" t="s">
        <v>1144</v>
      </c>
      <c r="H13" s="41" t="s">
        <v>1133</v>
      </c>
      <c r="I13" s="41" t="s">
        <v>1132</v>
      </c>
      <c r="J13" s="41" t="s">
        <v>1133</v>
      </c>
      <c r="K13" s="41" t="s">
        <v>1143</v>
      </c>
    </row>
  </sheetData>
  <hyperlinks>
    <hyperlink ref="K4" location="'U-2'!A1" display="NEXT QUESTION" xr:uid="{2FEEA21B-3CEA-42C3-BFD7-EEB96C00A3E1}"/>
  </hyperlinks>
  <pageMargins left="0.75" right="0.75" top="1" bottom="1" header="0.5" footer="0.5"/>
  <pageSetup paperSize="9"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F47F6-0406-47B5-A6B5-58AC9190AFB1}">
  <dimension ref="A4:K29"/>
  <sheetViews>
    <sheetView showGridLines="0" workbookViewId="0">
      <pane ySplit="7" topLeftCell="A8" activePane="bottomLeft" state="frozen"/>
      <selection pane="bottomLeft" activeCell="I17" sqref="I17"/>
    </sheetView>
  </sheetViews>
  <sheetFormatPr defaultRowHeight="15" x14ac:dyDescent="0.25"/>
  <cols>
    <col min="1" max="1" width="13.42578125" bestFit="1" customWidth="1"/>
    <col min="2" max="2" width="19.5703125" bestFit="1" customWidth="1"/>
    <col min="3" max="3" width="11.42578125" bestFit="1" customWidth="1"/>
    <col min="4" max="4" width="16.140625" bestFit="1" customWidth="1"/>
    <col min="5" max="5" width="18.42578125" bestFit="1" customWidth="1"/>
    <col min="6" max="6" width="18.85546875" bestFit="1" customWidth="1"/>
    <col min="7" max="7" width="13.7109375" bestFit="1" customWidth="1"/>
    <col min="8" max="8" width="12.7109375" bestFit="1" customWidth="1"/>
    <col min="9" max="9" width="15.5703125" bestFit="1" customWidth="1"/>
    <col min="10" max="10" width="21.140625" bestFit="1" customWidth="1"/>
    <col min="11" max="11" width="21.85546875" bestFit="1" customWidth="1"/>
  </cols>
  <sheetData>
    <row r="4" spans="1:11" x14ac:dyDescent="0.25">
      <c r="J4" s="7" t="s">
        <v>9</v>
      </c>
    </row>
    <row r="5" spans="1:11" x14ac:dyDescent="0.25">
      <c r="A5" s="38" t="s">
        <v>1145</v>
      </c>
    </row>
    <row r="7" spans="1:11" x14ac:dyDescent="0.25">
      <c r="A7" s="58" t="s">
        <v>1126</v>
      </c>
      <c r="B7" s="58" t="s">
        <v>1127</v>
      </c>
      <c r="C7" s="58" t="s">
        <v>1136</v>
      </c>
      <c r="D7" s="58" t="s">
        <v>1137</v>
      </c>
      <c r="E7" s="58" t="s">
        <v>1123</v>
      </c>
      <c r="F7" s="58" t="s">
        <v>1128</v>
      </c>
      <c r="G7" s="58" t="s">
        <v>1129</v>
      </c>
      <c r="H7" s="58" t="s">
        <v>1130</v>
      </c>
      <c r="I7" s="58" t="s">
        <v>1131</v>
      </c>
      <c r="J7" s="58" t="s">
        <v>1124</v>
      </c>
      <c r="K7" s="58" t="s">
        <v>1125</v>
      </c>
    </row>
    <row r="8" spans="1:11" x14ac:dyDescent="0.25">
      <c r="A8" s="44">
        <v>202256790</v>
      </c>
      <c r="B8" s="41" t="str">
        <f>VLOOKUP($A8,'U-1'!$A$7:$K$13,COLUMN(),FALSE)</f>
        <v>ABC</v>
      </c>
      <c r="C8" s="47">
        <f>VLOOKUP($A8,'U-1'!$A$7:$K$13,COLUMN(),FALSE)</f>
        <v>42458</v>
      </c>
      <c r="D8" s="41">
        <f>VLOOKUP($A8,'U-1'!$A$7:$K$13,COLUMN(),FALSE)</f>
        <v>1</v>
      </c>
      <c r="E8" s="41" t="str">
        <f>VLOOKUP($A8,'U-1'!$A$7:$K$13,COLUMN(),FALSE)</f>
        <v>GHI</v>
      </c>
      <c r="F8" s="41" t="str">
        <f>VLOOKUP($A8,'U-1'!$A$7:$K$13,COLUMN(),FALSE)</f>
        <v>PQR</v>
      </c>
      <c r="G8" s="41" t="str">
        <f>VLOOKUP($A8,'U-1'!$A$7:$K$13,COLUMN(),FALSE)</f>
        <v>GHI</v>
      </c>
      <c r="H8" s="41" t="str">
        <f>VLOOKUP($A8,'U-1'!$A$7:$K$13,COLUMN(),FALSE)</f>
        <v>JKL</v>
      </c>
      <c r="I8" s="41" t="str">
        <f>VLOOKUP($A8,'U-1'!$A$7:$K$13,COLUMN(),FALSE)</f>
        <v>GHI</v>
      </c>
      <c r="J8" s="41" t="str">
        <f>VLOOKUP($A8,'U-1'!$A$7:$K$13,COLUMN(),FALSE)</f>
        <v>PQR</v>
      </c>
      <c r="K8" s="41" t="str">
        <f>VLOOKUP($A8,'U-1'!$A$7:$K$13,COLUMN(),FALSE)</f>
        <v>GHI</v>
      </c>
    </row>
    <row r="9" spans="1:11" x14ac:dyDescent="0.25">
      <c r="A9" s="44">
        <v>202256789</v>
      </c>
      <c r="B9" s="41" t="str">
        <f>VLOOKUP($A9,'U-1'!$A$7:$K$13,COLUMN(),FALSE)</f>
        <v>DEF</v>
      </c>
      <c r="C9" s="47">
        <f>VLOOKUP($A9,'U-1'!$A$7:$K$13,COLUMN(),FALSE)</f>
        <v>40227</v>
      </c>
      <c r="D9" s="41">
        <f>VLOOKUP($A9,'U-1'!$A$7:$K$13,COLUMN(),FALSE)</f>
        <v>0</v>
      </c>
      <c r="E9" s="41" t="str">
        <f>VLOOKUP($A9,'U-1'!$A$7:$K$13,COLUMN(),FALSE)</f>
        <v>JKL</v>
      </c>
      <c r="F9" s="41" t="str">
        <f>VLOOKUP($A9,'U-1'!$A$7:$K$13,COLUMN(),FALSE)</f>
        <v>STU</v>
      </c>
      <c r="G9" s="41" t="str">
        <f>VLOOKUP($A9,'U-1'!$A$7:$K$13,COLUMN(),FALSE)</f>
        <v>JKL</v>
      </c>
      <c r="H9" s="41" t="str">
        <f>VLOOKUP($A9,'U-1'!$A$7:$K$13,COLUMN(),FALSE)</f>
        <v>MNO</v>
      </c>
      <c r="I9" s="41" t="str">
        <f>VLOOKUP($A9,'U-1'!$A$7:$K$13,COLUMN(),FALSE)</f>
        <v>JKL</v>
      </c>
      <c r="J9" s="41" t="str">
        <f>VLOOKUP($A9,'U-1'!$A$7:$K$13,COLUMN(),FALSE)</f>
        <v>STU</v>
      </c>
      <c r="K9" s="41" t="str">
        <f>VLOOKUP($A9,'U-1'!$A$7:$K$13,COLUMN(),FALSE)</f>
        <v>JKL</v>
      </c>
    </row>
    <row r="10" spans="1:11" x14ac:dyDescent="0.25">
      <c r="A10" s="44">
        <v>202256791</v>
      </c>
      <c r="B10" s="41" t="str">
        <f>VLOOKUP($A10,'U-1'!$A$7:$K$13,COLUMN(),FALSE)</f>
        <v>GHI</v>
      </c>
      <c r="C10" s="47">
        <f>VLOOKUP($A10,'U-1'!$A$7:$K$13,COLUMN(),FALSE)</f>
        <v>43242</v>
      </c>
      <c r="D10" s="41">
        <f>VLOOKUP($A10,'U-1'!$A$7:$K$13,COLUMN(),FALSE)</f>
        <v>0</v>
      </c>
      <c r="E10" s="41" t="str">
        <f>VLOOKUP($A10,'U-1'!$A$7:$K$13,COLUMN(),FALSE)</f>
        <v>MNO</v>
      </c>
      <c r="F10" s="41" t="str">
        <f>VLOOKUP($A10,'U-1'!$A$7:$K$13,COLUMN(),FALSE)</f>
        <v>JKL</v>
      </c>
      <c r="G10" s="41" t="str">
        <f>VLOOKUP($A10,'U-1'!$A$7:$K$13,COLUMN(),FALSE)</f>
        <v>MNO</v>
      </c>
      <c r="H10" s="41" t="str">
        <f>VLOOKUP($A10,'U-1'!$A$7:$K$13,COLUMN(),FALSE)</f>
        <v>ABC</v>
      </c>
      <c r="I10" s="41" t="str">
        <f>VLOOKUP($A10,'U-1'!$A$7:$K$13,COLUMN(),FALSE)</f>
        <v>MNO</v>
      </c>
      <c r="J10" s="41" t="str">
        <f>VLOOKUP($A10,'U-1'!$A$7:$K$13,COLUMN(),FALSE)</f>
        <v>JKL</v>
      </c>
      <c r="K10" s="41" t="str">
        <f>VLOOKUP($A10,'U-1'!$A$7:$K$13,COLUMN(),FALSE)</f>
        <v>MNO</v>
      </c>
    </row>
    <row r="11" spans="1:11" x14ac:dyDescent="0.25">
      <c r="A11" s="44">
        <v>202256794</v>
      </c>
      <c r="B11" s="41" t="str">
        <f>VLOOKUP($A11,'U-1'!$A$7:$K$13,COLUMN(),FALSE)</f>
        <v>JKL</v>
      </c>
      <c r="C11" s="47">
        <f>VLOOKUP($A11,'U-1'!$A$7:$K$13,COLUMN(),FALSE)</f>
        <v>42054</v>
      </c>
      <c r="D11" s="41">
        <f>VLOOKUP($A11,'U-1'!$A$7:$K$13,COLUMN(),FALSE)</f>
        <v>1</v>
      </c>
      <c r="E11" s="41" t="str">
        <f>VLOOKUP($A11,'U-1'!$A$7:$K$13,COLUMN(),FALSE)</f>
        <v>PQR</v>
      </c>
      <c r="F11" s="41" t="str">
        <f>VLOOKUP($A11,'U-1'!$A$7:$K$13,COLUMN(),FALSE)</f>
        <v>MNO</v>
      </c>
      <c r="G11" s="41" t="str">
        <f>VLOOKUP($A11,'U-1'!$A$7:$K$13,COLUMN(),FALSE)</f>
        <v>ABC</v>
      </c>
      <c r="H11" s="41" t="str">
        <f>VLOOKUP($A11,'U-1'!$A$7:$K$13,COLUMN(),FALSE)</f>
        <v>MNO</v>
      </c>
      <c r="I11" s="41" t="str">
        <f>VLOOKUP($A11,'U-1'!$A$7:$K$13,COLUMN(),FALSE)</f>
        <v>PQR</v>
      </c>
      <c r="J11" s="41" t="str">
        <f>VLOOKUP($A11,'U-1'!$A$7:$K$13,COLUMN(),FALSE)</f>
        <v>MNO</v>
      </c>
      <c r="K11" s="41" t="str">
        <f>VLOOKUP($A11,'U-1'!$A$7:$K$13,COLUMN(),FALSE)</f>
        <v>ABC</v>
      </c>
    </row>
    <row r="12" spans="1:11" x14ac:dyDescent="0.25">
      <c r="A12" s="44">
        <v>202256796</v>
      </c>
      <c r="B12" s="41" t="str">
        <f>VLOOKUP($A12,'U-1'!$A$7:$K$13,COLUMN(),FALSE)</f>
        <v>MNO</v>
      </c>
      <c r="C12" s="47">
        <f>VLOOKUP($A12,'U-1'!$A$7:$K$13,COLUMN(),FALSE)</f>
        <v>40661</v>
      </c>
      <c r="D12" s="41">
        <f>VLOOKUP($A12,'U-1'!$A$7:$K$13,COLUMN(),FALSE)</f>
        <v>0</v>
      </c>
      <c r="E12" s="41" t="str">
        <f>VLOOKUP($A12,'U-1'!$A$7:$K$13,COLUMN(),FALSE)</f>
        <v>STU</v>
      </c>
      <c r="F12" s="41" t="str">
        <f>VLOOKUP($A12,'U-1'!$A$7:$K$13,COLUMN(),FALSE)</f>
        <v>MNO</v>
      </c>
      <c r="G12" s="41" t="str">
        <f>VLOOKUP($A12,'U-1'!$A$7:$K$13,COLUMN(),FALSE)</f>
        <v>MNO</v>
      </c>
      <c r="H12" s="41" t="str">
        <f>VLOOKUP($A12,'U-1'!$A$7:$K$13,COLUMN(),FALSE)</f>
        <v>JKL</v>
      </c>
      <c r="I12" s="41" t="str">
        <f>VLOOKUP($A12,'U-1'!$A$7:$K$13,COLUMN(),FALSE)</f>
        <v>MNO</v>
      </c>
      <c r="J12" s="41" t="str">
        <f>VLOOKUP($A12,'U-1'!$A$7:$K$13,COLUMN(),FALSE)</f>
        <v>MNO</v>
      </c>
      <c r="K12" s="41" t="str">
        <f>VLOOKUP($A12,'U-1'!$A$7:$K$13,COLUMN(),FALSE)</f>
        <v>JKL</v>
      </c>
    </row>
    <row r="13" spans="1:11" x14ac:dyDescent="0.25">
      <c r="A13" s="44">
        <v>202256799</v>
      </c>
      <c r="B13" s="41" t="str">
        <f>VLOOKUP($A13,'U-1'!$A$7:$K$13,COLUMN(),FALSE)</f>
        <v>PQR</v>
      </c>
      <c r="C13" s="47">
        <f>VLOOKUP($A13,'U-1'!$A$7:$K$13,COLUMN(),FALSE)</f>
        <v>42786</v>
      </c>
      <c r="D13" s="41">
        <f>VLOOKUP($A13,'U-1'!$A$7:$K$13,COLUMN(),FALSE)</f>
        <v>2</v>
      </c>
      <c r="E13" s="41" t="str">
        <f>VLOOKUP($A13,'U-1'!$A$7:$K$13,COLUMN(),FALSE)</f>
        <v>ABC</v>
      </c>
      <c r="F13" s="41" t="str">
        <f>VLOOKUP($A13,'U-1'!$A$7:$K$13,COLUMN(),FALSE)</f>
        <v>STU</v>
      </c>
      <c r="G13" s="41" t="str">
        <f>VLOOKUP($A13,'U-1'!$A$7:$K$13,COLUMN(),FALSE)</f>
        <v>PQR</v>
      </c>
      <c r="H13" s="41" t="str">
        <f>VLOOKUP($A13,'U-1'!$A$7:$K$13,COLUMN(),FALSE)</f>
        <v>MNO</v>
      </c>
      <c r="I13" s="41" t="str">
        <f>VLOOKUP($A13,'U-1'!$A$7:$K$13,COLUMN(),FALSE)</f>
        <v>STU</v>
      </c>
      <c r="J13" s="41" t="str">
        <f>VLOOKUP($A13,'U-1'!$A$7:$K$13,COLUMN(),FALSE)</f>
        <v>PQR</v>
      </c>
      <c r="K13" s="41" t="str">
        <f>VLOOKUP($A13,'U-1'!$A$7:$K$13,COLUMN(),FALSE)</f>
        <v>MNO</v>
      </c>
    </row>
    <row r="14" spans="1:11" x14ac:dyDescent="0.25">
      <c r="A14" s="44">
        <v>202256767</v>
      </c>
      <c r="B14" s="41" t="str">
        <f>VLOOKUP($A14,'U-1'!$A$7:$K$13,COLUMN(),FALSE)</f>
        <v>STU</v>
      </c>
      <c r="C14" s="47">
        <f>VLOOKUP($A14,'U-1'!$A$7:$K$13,COLUMN(),FALSE)</f>
        <v>43545</v>
      </c>
      <c r="D14" s="41">
        <f>VLOOKUP($A14,'U-1'!$A$7:$K$13,COLUMN(),FALSE)</f>
        <v>1</v>
      </c>
      <c r="E14" s="41" t="str">
        <f>VLOOKUP($A14,'U-1'!$A$7:$K$13,COLUMN(),FALSE)</f>
        <v>DEF</v>
      </c>
      <c r="F14" s="41" t="str">
        <f>VLOOKUP($A14,'U-1'!$A$7:$K$13,COLUMN(),FALSE)</f>
        <v>ABC</v>
      </c>
      <c r="G14" s="41" t="str">
        <f>VLOOKUP($A14,'U-1'!$A$7:$K$13,COLUMN(),FALSE)</f>
        <v>STU</v>
      </c>
      <c r="H14" s="41" t="str">
        <f>VLOOKUP($A14,'U-1'!$A$7:$K$13,COLUMN(),FALSE)</f>
        <v>DEF</v>
      </c>
      <c r="I14" s="41" t="str">
        <f>VLOOKUP($A14,'U-1'!$A$7:$K$13,COLUMN(),FALSE)</f>
        <v>ABC</v>
      </c>
      <c r="J14" s="41" t="str">
        <f>VLOOKUP($A14,'U-1'!$A$7:$K$13,COLUMN(),FALSE)</f>
        <v>DEF</v>
      </c>
      <c r="K14" s="41" t="str">
        <f>VLOOKUP($A14,'U-1'!$A$7:$K$13,COLUMN(),FALSE)</f>
        <v>PQR</v>
      </c>
    </row>
    <row r="15" spans="1:11" x14ac:dyDescent="0.25">
      <c r="A15" s="40"/>
      <c r="B15" s="36"/>
      <c r="C15" s="45"/>
      <c r="D15" s="36"/>
      <c r="E15" s="36"/>
      <c r="F15" s="36"/>
      <c r="G15" s="36"/>
      <c r="H15" s="36"/>
      <c r="I15" s="36"/>
      <c r="J15" s="36"/>
      <c r="K15" s="36"/>
    </row>
    <row r="16" spans="1:11" x14ac:dyDescent="0.25">
      <c r="A16" s="38" t="s">
        <v>1146</v>
      </c>
    </row>
    <row r="18" spans="1:11" x14ac:dyDescent="0.25">
      <c r="A18" s="58" t="s">
        <v>1126</v>
      </c>
      <c r="B18" s="58" t="s">
        <v>1125</v>
      </c>
      <c r="C18" s="58" t="s">
        <v>1129</v>
      </c>
      <c r="D18" s="58" t="s">
        <v>1123</v>
      </c>
      <c r="E18" s="58" t="s">
        <v>1127</v>
      </c>
      <c r="F18" s="58" t="s">
        <v>1124</v>
      </c>
      <c r="G18" s="58" t="s">
        <v>1130</v>
      </c>
      <c r="H18" s="58" t="s">
        <v>1137</v>
      </c>
      <c r="I18" s="58" t="s">
        <v>1136</v>
      </c>
      <c r="J18" s="58" t="s">
        <v>1128</v>
      </c>
      <c r="K18" s="58" t="s">
        <v>1131</v>
      </c>
    </row>
    <row r="19" spans="1:11" x14ac:dyDescent="0.25">
      <c r="A19" s="44">
        <v>202256790</v>
      </c>
      <c r="B19" s="41" t="str">
        <f>VLOOKUP($A19,$A$8:$K$14,MATCH(B$18,$A$7:$K$7,0),FALSE)</f>
        <v>GHI</v>
      </c>
      <c r="C19" s="41" t="str">
        <f t="shared" ref="C19:K19" si="0">VLOOKUP($A19,$A$8:$K$14,MATCH(C$18,$A$7:$K$7,0),FALSE)</f>
        <v>GHI</v>
      </c>
      <c r="D19" s="41" t="str">
        <f t="shared" si="0"/>
        <v>GHI</v>
      </c>
      <c r="E19" s="41" t="str">
        <f t="shared" si="0"/>
        <v>ABC</v>
      </c>
      <c r="F19" s="41" t="str">
        <f t="shared" si="0"/>
        <v>PQR</v>
      </c>
      <c r="G19" s="41" t="str">
        <f t="shared" si="0"/>
        <v>JKL</v>
      </c>
      <c r="H19" s="41">
        <f t="shared" si="0"/>
        <v>1</v>
      </c>
      <c r="I19" s="41">
        <f t="shared" si="0"/>
        <v>42458</v>
      </c>
      <c r="J19" s="41" t="str">
        <f t="shared" si="0"/>
        <v>PQR</v>
      </c>
      <c r="K19" s="41" t="str">
        <f t="shared" si="0"/>
        <v>GHI</v>
      </c>
    </row>
    <row r="20" spans="1:11" x14ac:dyDescent="0.25">
      <c r="A20" s="44">
        <v>202256789</v>
      </c>
      <c r="B20" s="41" t="str">
        <f t="shared" ref="B20:K25" si="1">VLOOKUP($A20,$A$8:$K$14,MATCH(B$18,$A$7:$K$7,0),FALSE)</f>
        <v>JKL</v>
      </c>
      <c r="C20" s="41" t="str">
        <f t="shared" si="1"/>
        <v>JKL</v>
      </c>
      <c r="D20" s="41" t="str">
        <f t="shared" si="1"/>
        <v>JKL</v>
      </c>
      <c r="E20" s="41" t="str">
        <f t="shared" si="1"/>
        <v>DEF</v>
      </c>
      <c r="F20" s="41" t="str">
        <f t="shared" si="1"/>
        <v>STU</v>
      </c>
      <c r="G20" s="41" t="str">
        <f t="shared" si="1"/>
        <v>MNO</v>
      </c>
      <c r="H20" s="41">
        <f t="shared" si="1"/>
        <v>0</v>
      </c>
      <c r="I20" s="41">
        <f t="shared" si="1"/>
        <v>40227</v>
      </c>
      <c r="J20" s="41" t="str">
        <f t="shared" si="1"/>
        <v>STU</v>
      </c>
      <c r="K20" s="41" t="str">
        <f t="shared" si="1"/>
        <v>JKL</v>
      </c>
    </row>
    <row r="21" spans="1:11" x14ac:dyDescent="0.25">
      <c r="A21" s="44">
        <v>202256791</v>
      </c>
      <c r="B21" s="41" t="str">
        <f t="shared" si="1"/>
        <v>MNO</v>
      </c>
      <c r="C21" s="41" t="str">
        <f t="shared" si="1"/>
        <v>MNO</v>
      </c>
      <c r="D21" s="41" t="str">
        <f t="shared" si="1"/>
        <v>MNO</v>
      </c>
      <c r="E21" s="41" t="str">
        <f t="shared" si="1"/>
        <v>GHI</v>
      </c>
      <c r="F21" s="41" t="str">
        <f t="shared" si="1"/>
        <v>JKL</v>
      </c>
      <c r="G21" s="41" t="str">
        <f t="shared" si="1"/>
        <v>ABC</v>
      </c>
      <c r="H21" s="41">
        <f t="shared" si="1"/>
        <v>0</v>
      </c>
      <c r="I21" s="41">
        <f t="shared" si="1"/>
        <v>43242</v>
      </c>
      <c r="J21" s="41" t="str">
        <f t="shared" si="1"/>
        <v>JKL</v>
      </c>
      <c r="K21" s="41" t="str">
        <f t="shared" si="1"/>
        <v>MNO</v>
      </c>
    </row>
    <row r="22" spans="1:11" x14ac:dyDescent="0.25">
      <c r="A22" s="44">
        <v>202256794</v>
      </c>
      <c r="B22" s="41" t="str">
        <f t="shared" si="1"/>
        <v>ABC</v>
      </c>
      <c r="C22" s="41" t="str">
        <f t="shared" si="1"/>
        <v>ABC</v>
      </c>
      <c r="D22" s="41" t="str">
        <f t="shared" si="1"/>
        <v>PQR</v>
      </c>
      <c r="E22" s="41" t="str">
        <f t="shared" si="1"/>
        <v>JKL</v>
      </c>
      <c r="F22" s="41" t="str">
        <f t="shared" si="1"/>
        <v>MNO</v>
      </c>
      <c r="G22" s="41" t="str">
        <f t="shared" si="1"/>
        <v>MNO</v>
      </c>
      <c r="H22" s="41">
        <f t="shared" si="1"/>
        <v>1</v>
      </c>
      <c r="I22" s="41">
        <f t="shared" si="1"/>
        <v>42054</v>
      </c>
      <c r="J22" s="41" t="str">
        <f t="shared" si="1"/>
        <v>MNO</v>
      </c>
      <c r="K22" s="41" t="str">
        <f t="shared" si="1"/>
        <v>PQR</v>
      </c>
    </row>
    <row r="23" spans="1:11" x14ac:dyDescent="0.25">
      <c r="A23" s="44">
        <v>202256796</v>
      </c>
      <c r="B23" s="41" t="str">
        <f t="shared" si="1"/>
        <v>JKL</v>
      </c>
      <c r="C23" s="41" t="str">
        <f t="shared" si="1"/>
        <v>MNO</v>
      </c>
      <c r="D23" s="41" t="str">
        <f t="shared" si="1"/>
        <v>STU</v>
      </c>
      <c r="E23" s="41" t="str">
        <f t="shared" si="1"/>
        <v>MNO</v>
      </c>
      <c r="F23" s="41" t="str">
        <f t="shared" si="1"/>
        <v>MNO</v>
      </c>
      <c r="G23" s="41" t="str">
        <f t="shared" si="1"/>
        <v>JKL</v>
      </c>
      <c r="H23" s="41">
        <f t="shared" si="1"/>
        <v>0</v>
      </c>
      <c r="I23" s="41">
        <f t="shared" si="1"/>
        <v>40661</v>
      </c>
      <c r="J23" s="41" t="str">
        <f t="shared" si="1"/>
        <v>MNO</v>
      </c>
      <c r="K23" s="41" t="str">
        <f t="shared" si="1"/>
        <v>MNO</v>
      </c>
    </row>
    <row r="24" spans="1:11" x14ac:dyDescent="0.25">
      <c r="A24" s="44">
        <v>202256799</v>
      </c>
      <c r="B24" s="41" t="str">
        <f t="shared" si="1"/>
        <v>MNO</v>
      </c>
      <c r="C24" s="41" t="str">
        <f t="shared" si="1"/>
        <v>PQR</v>
      </c>
      <c r="D24" s="41" t="str">
        <f t="shared" si="1"/>
        <v>ABC</v>
      </c>
      <c r="E24" s="41" t="str">
        <f t="shared" si="1"/>
        <v>PQR</v>
      </c>
      <c r="F24" s="41" t="str">
        <f t="shared" si="1"/>
        <v>PQR</v>
      </c>
      <c r="G24" s="41" t="str">
        <f t="shared" si="1"/>
        <v>MNO</v>
      </c>
      <c r="H24" s="41">
        <f t="shared" si="1"/>
        <v>2</v>
      </c>
      <c r="I24" s="41">
        <f t="shared" si="1"/>
        <v>42786</v>
      </c>
      <c r="J24" s="41" t="str">
        <f t="shared" si="1"/>
        <v>STU</v>
      </c>
      <c r="K24" s="41" t="str">
        <f t="shared" si="1"/>
        <v>STU</v>
      </c>
    </row>
    <row r="25" spans="1:11" x14ac:dyDescent="0.25">
      <c r="A25" s="44">
        <v>202256767</v>
      </c>
      <c r="B25" s="41" t="str">
        <f t="shared" si="1"/>
        <v>PQR</v>
      </c>
      <c r="C25" s="41" t="str">
        <f t="shared" si="1"/>
        <v>STU</v>
      </c>
      <c r="D25" s="41" t="str">
        <f t="shared" si="1"/>
        <v>DEF</v>
      </c>
      <c r="E25" s="41" t="str">
        <f t="shared" si="1"/>
        <v>STU</v>
      </c>
      <c r="F25" s="41" t="str">
        <f t="shared" si="1"/>
        <v>DEF</v>
      </c>
      <c r="G25" s="41" t="str">
        <f t="shared" si="1"/>
        <v>DEF</v>
      </c>
      <c r="H25" s="41">
        <f t="shared" si="1"/>
        <v>1</v>
      </c>
      <c r="I25" s="41">
        <f t="shared" si="1"/>
        <v>43545</v>
      </c>
      <c r="J25" s="41" t="str">
        <f t="shared" si="1"/>
        <v>ABC</v>
      </c>
      <c r="K25" s="41" t="str">
        <f t="shared" si="1"/>
        <v>ABC</v>
      </c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</sheetData>
  <hyperlinks>
    <hyperlink ref="J4" location="V!A1" display="NEXT QUESTION" xr:uid="{ED609D6B-2467-41E4-82D5-4CB1B744552D}"/>
  </hyperlink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3</vt:i4>
      </vt:variant>
    </vt:vector>
  </HeadingPairs>
  <TitlesOfParts>
    <vt:vector size="25" baseType="lpstr">
      <vt:lpstr>A</vt:lpstr>
      <vt:lpstr>B</vt:lpstr>
      <vt:lpstr>C</vt:lpstr>
      <vt:lpstr>D</vt:lpstr>
      <vt:lpstr>E</vt:lpstr>
      <vt:lpstr>F</vt:lpstr>
      <vt:lpstr>G</vt:lpstr>
      <vt:lpstr>H</vt:lpstr>
      <vt:lpstr>I</vt:lpstr>
      <vt:lpstr>J</vt:lpstr>
      <vt:lpstr>K</vt:lpstr>
      <vt:lpstr>M</vt:lpstr>
      <vt:lpstr>Sheet2</vt:lpstr>
      <vt:lpstr>N</vt:lpstr>
      <vt:lpstr>O</vt:lpstr>
      <vt:lpstr>P</vt:lpstr>
      <vt:lpstr>Q</vt:lpstr>
      <vt:lpstr>R</vt:lpstr>
      <vt:lpstr>S-1</vt:lpstr>
      <vt:lpstr>S-2</vt:lpstr>
      <vt:lpstr>U-1</vt:lpstr>
      <vt:lpstr>U-2</vt:lpstr>
      <vt:lpstr>India</vt:lpstr>
      <vt:lpstr>M!Print_Area</vt:lpstr>
      <vt:lpstr>US</vt:lpstr>
    </vt:vector>
  </TitlesOfParts>
  <Company>Deloitte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princekumar96@deloitte.com</dc:creator>
  <cp:lastModifiedBy>Manish Kumar</cp:lastModifiedBy>
  <dcterms:created xsi:type="dcterms:W3CDTF">2010-07-02T09:41:26Z</dcterms:created>
  <dcterms:modified xsi:type="dcterms:W3CDTF">2023-06-07T13:49:56Z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2022-02-16T12:37:03Z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1ad1aca7-725e-4dd8-9050-e26035da753b</vt:lpwstr>
  </property>
  <property fmtid="{D5CDD505-2E9C-101B-9397-08002B2CF9AE}" pid="8" name="MSIP_Label_ea60d57e-af5b-4752-ac57-3e4f28ca11dc_ContentBits">
    <vt:lpwstr>0</vt:lpwstr>
  </property>
</Properties>
</file>